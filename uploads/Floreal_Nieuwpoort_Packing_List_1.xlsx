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cking List" sheetId="1" state="visible" r:id="rId3"/>
    <sheet name="Car Packing Plan" sheetId="2" state="visible" r:id="rId4"/>
    <sheet name="Summary" sheetId="3" state="visible" r:id="rId5"/>
    <sheet name="Eating &amp; Activiti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<sst xmlns="http://schemas.openxmlformats.org/spreadsheetml/2006/main" count="671" uniqueCount="311">
  <si>
    <t xml:space="preserve">Floreal Nieuwpoort — 1 Week Packing List</t>
  </si>
  <si>
    <t xml:space="preserve">2-bedroom apartment · early August · parents + 2-month-old daughter (oldest travels with grandmother &amp; uncle)</t>
  </si>
  <si>
    <t xml:space="preserve">Category</t>
  </si>
  <si>
    <t xml:space="preserve">Item</t>
  </si>
  <si>
    <t xml:space="preserve">Qty</t>
  </si>
  <si>
    <t xml:space="preserve">For</t>
  </si>
  <si>
    <t xml:space="preserve">Pack Location</t>
  </si>
  <si>
    <t xml:space="preserve">Packed?</t>
  </si>
  <si>
    <t xml:space="preserve">Notes</t>
  </si>
  <si>
    <t xml:space="preserve">Documents &amp; Money</t>
  </si>
  <si>
    <t xml:space="preserve">ID cards / passports (all family members present)</t>
  </si>
  <si>
    <t xml:space="preserve">1 set</t>
  </si>
  <si>
    <t xml:space="preserve">All</t>
  </si>
  <si>
    <t xml:space="preserve">Cabin (with us)</t>
  </si>
  <si>
    <t xml:space="preserve">No</t>
  </si>
  <si>
    <t xml:space="preserve">Keep in one folder/pouch, easy reach at check-in</t>
  </si>
  <si>
    <t xml:space="preserve">Baby's ID card / kids' ID (if issued)</t>
  </si>
  <si>
    <t xml:space="preserve">1</t>
  </si>
  <si>
    <t xml:space="preserve">Baby</t>
  </si>
  <si>
    <t xml:space="preserve">Required for Belgian travel even for infants</t>
  </si>
  <si>
    <t xml:space="preserve">Child's health/vaccination booklet (Kind &amp; Gezin boekje)</t>
  </si>
  <si>
    <t xml:space="preserve">Take in case of a doctor visit</t>
  </si>
  <si>
    <t xml:space="preserve">European Health Insurance Card / mutuality card</t>
  </si>
  <si>
    <t xml:space="preserve">per adult</t>
  </si>
  <si>
    <t xml:space="preserve">Floreal booking confirmation / voucher</t>
  </si>
  <si>
    <t xml:space="preserve">Printed or on phone</t>
  </si>
  <si>
    <t xml:space="preserve">Car documents (registration, insurance, breakdown cover)</t>
  </si>
  <si>
    <t xml:space="preserve">Glovebox</t>
  </si>
  <si>
    <t xml:space="preserve">Charge card / RFID card for public charging (Bosch, Blue Corner, etc.)</t>
  </si>
  <si>
    <t xml:space="preserve">1-2</t>
  </si>
  <si>
    <t xml:space="preserve">Useful if you top up on the way or locally</t>
  </si>
  <si>
    <t xml:space="preserve">Baby (2 months) — Feeding</t>
  </si>
  <si>
    <t xml:space="preserve">Bottles + teats</t>
  </si>
  <si>
    <t xml:space="preserve">4-6</t>
  </si>
  <si>
    <t xml:space="preserve">Rear trunk</t>
  </si>
  <si>
    <t xml:space="preserve">More if exclusively bottle-fed</t>
  </si>
  <si>
    <t xml:space="preserve">Formula (if used) — full week supply</t>
  </si>
  <si>
    <t xml:space="preserve">1 tin/day est.</t>
  </si>
  <si>
    <t xml:space="preserve">Bring familiar brand; buying locally is fine too, Belgian supermarkets stock it</t>
  </si>
  <si>
    <t xml:space="preserve">Bottle steriliser / steriliser bags + bottle brush</t>
  </si>
  <si>
    <t xml:space="preserve">Microwave/steam type packs flat</t>
  </si>
  <si>
    <t xml:space="preserve">Breast pump + storage bags/bottles</t>
  </si>
  <si>
    <t xml:space="preserve">If pumping; keep accessible for use en route</t>
  </si>
  <si>
    <t xml:space="preserve">Muslin cloths / burp cloths</t>
  </si>
  <si>
    <t xml:space="preserve">8-10</t>
  </si>
  <si>
    <t xml:space="preserve">Always pack more than feels necessary</t>
  </si>
  <si>
    <t xml:space="preserve">Bibs</t>
  </si>
  <si>
    <t xml:space="preserve">Travel bottle warmer / insulated bottle bag</t>
  </si>
  <si>
    <t xml:space="preserve">Handy for the drive and days out</t>
  </si>
  <si>
    <t xml:space="preserve">Cool bag + ice packs (for formula/milk during drive)</t>
  </si>
  <si>
    <t xml:space="preserve">Small soft cool bag, not a hard cooler</t>
  </si>
  <si>
    <t xml:space="preserve">Baby (2 months) — Changing</t>
  </si>
  <si>
    <t xml:space="preserve">Nappies (newborn/size 1-2)</t>
  </si>
  <si>
    <t xml:space="preserve">~70 (10/day)</t>
  </si>
  <si>
    <t xml:space="preserve">Buy a top-up pack locally to save space, Carrefour/Colruyt nearby</t>
  </si>
  <si>
    <t xml:space="preserve">Wipes</t>
  </si>
  <si>
    <t xml:space="preserve">3-4 packs</t>
  </si>
  <si>
    <t xml:space="preserve">Changing mat (portable/travel)</t>
  </si>
  <si>
    <t xml:space="preserve">Foldable travel mat, not the bulky home one</t>
  </si>
  <si>
    <t xml:space="preserve">Nappy sacks / small bin bags</t>
  </si>
  <si>
    <t xml:space="preserve">1 roll</t>
  </si>
  <si>
    <t xml:space="preserve">Barrier/diaper rash cream</t>
  </si>
  <si>
    <t xml:space="preserve">Cotton pads/wool + water (for newborn cleansing)</t>
  </si>
  <si>
    <t xml:space="preserve">1 pack</t>
  </si>
  <si>
    <t xml:space="preserve">Gentler than wipes for the first weeks</t>
  </si>
  <si>
    <t xml:space="preserve">Baby (2 months) — Clothing</t>
  </si>
  <si>
    <t xml:space="preserve">Bodysuits/vests</t>
  </si>
  <si>
    <t xml:space="preserve">10-12</t>
  </si>
  <si>
    <t xml:space="preserve">Newborns go through several a day</t>
  </si>
  <si>
    <t xml:space="preserve">Sleepsuits/onesies</t>
  </si>
  <si>
    <t xml:space="preserve">Cardigans/light jackets</t>
  </si>
  <si>
    <t xml:space="preserve">2-3</t>
  </si>
  <si>
    <t xml:space="preserve">Coastal evenings get cool even in August</t>
  </si>
  <si>
    <t xml:space="preserve">Hats — sun hat + light beanie</t>
  </si>
  <si>
    <t xml:space="preserve">2</t>
  </si>
  <si>
    <t xml:space="preserve">Sun hat for beach/dunes, beanie for breezy evenings</t>
  </si>
  <si>
    <t xml:space="preserve">Socks/booties</t>
  </si>
  <si>
    <t xml:space="preserve">6 pairs</t>
  </si>
  <si>
    <t xml:space="preserve">Swaddles / sleep sacks</t>
  </si>
  <si>
    <t xml:space="preserve">3</t>
  </si>
  <si>
    <t xml:space="preserve">For naps in the travel cot</t>
  </si>
  <si>
    <t xml:space="preserve">Sun-protective swim/beach suit (UV suit)</t>
  </si>
  <si>
    <t xml:space="preserve">For shade time on the beach, not for swimming yet</t>
  </si>
  <si>
    <t xml:space="preserve">Baby (2 months) — Sleep &amp; Gear</t>
  </si>
  <si>
    <t xml:space="preserve">Travel cot / travel bassinet</t>
  </si>
  <si>
    <t xml:space="preserve">Confirm with Floreal first — some apartments/parks rent baby cots, saves major boot space</t>
  </si>
  <si>
    <t xml:space="preserve">Fitted sheets for travel cot</t>
  </si>
  <si>
    <t xml:space="preserve">Baby monitor</t>
  </si>
  <si>
    <t xml:space="preserve">Handy in a 2-bedroom layout with a separate baby room</t>
  </si>
  <si>
    <t xml:space="preserve">Rear-facing infant car seat</t>
  </si>
  <si>
    <t xml:space="preserve">Cabin (installed)</t>
  </si>
  <si>
    <t xml:space="preserve">Fitted in the Mach-E's rear seat via LATCH/ISOFIX before loading anything else</t>
  </si>
  <si>
    <t xml:space="preserve">Mountain Buggy stroller</t>
  </si>
  <si>
    <t xml:space="preserve">Fold and load FIRST, flat along the boot floor — see car packing notes</t>
  </si>
  <si>
    <t xml:space="preserve">Rain cover + sun canopy/parasol for stroller</t>
  </si>
  <si>
    <t xml:space="preserve">1 each</t>
  </si>
  <si>
    <t xml:space="preserve">Usually stows in stroller's own basket</t>
  </si>
  <si>
    <t xml:space="preserve">Baby carrier / sling</t>
  </si>
  <si>
    <t xml:space="preserve">Great for dunes/boardwalk where the big stroller is impractical</t>
  </si>
  <si>
    <t xml:space="preserve">Baby bath / bath support + baby-safe bath thermometer</t>
  </si>
  <si>
    <t xml:space="preserve">Frunk</t>
  </si>
  <si>
    <t xml:space="preserve">Bath tub is bulky but rigid — frunk suits it well</t>
  </si>
  <si>
    <t xml:space="preserve">Baby toiletries: wash, shampoo, moisturiser</t>
  </si>
  <si>
    <t xml:space="preserve">Nail scissors/file</t>
  </si>
  <si>
    <t xml:space="preserve">Dummies/pacifiers (if used) + clips</t>
  </si>
  <si>
    <t xml:space="preserve">Comforter/small toys, rattle</t>
  </si>
  <si>
    <t xml:space="preserve">Health &amp; Safety</t>
  </si>
  <si>
    <t xml:space="preserve">Infant paracetamol (e.g. Perdolan/Perdolan Zetpil, per pediatrician advice)</t>
  </si>
  <si>
    <t xml:space="preserve">Confirm dose with your pediatrician beforehand</t>
  </si>
  <si>
    <t xml:space="preserve">Digital thermometer</t>
  </si>
  <si>
    <t xml:space="preserve">Saline nasal drops + nasal aspirator</t>
  </si>
  <si>
    <t xml:space="preserve">First aid kit (plasters, antiseptic, tweezers)</t>
  </si>
  <si>
    <t xml:space="preserve">Adult medication / prescriptions</t>
  </si>
  <si>
    <t xml:space="preserve">as needed</t>
  </si>
  <si>
    <t xml:space="preserve">Adults</t>
  </si>
  <si>
    <t xml:space="preserve">Sunscreen SPF50 (adults/older child)</t>
  </si>
  <si>
    <t xml:space="preserve">Keep baby in shade/UV suit rather than sunscreen under ~6 months</t>
  </si>
  <si>
    <t xml:space="preserve">After-sun / aloe gel</t>
  </si>
  <si>
    <t xml:space="preserve">Insect bite cream</t>
  </si>
  <si>
    <t xml:space="preserve">Parents — Clothing</t>
  </si>
  <si>
    <t xml:space="preserve">Everyday outfits (tops, bottoms)</t>
  </si>
  <si>
    <t xml:space="preserve">7-8 each</t>
  </si>
  <si>
    <t xml:space="preserve">Belgian coast in August: layer for sun, wind and rain in the same day</t>
  </si>
  <si>
    <t xml:space="preserve">Light rain jacket / windbreaker</t>
  </si>
  <si>
    <t xml:space="preserve">Coastal weather turns quickly</t>
  </si>
  <si>
    <t xml:space="preserve">Swimwear</t>
  </si>
  <si>
    <t xml:space="preserve">2 each</t>
  </si>
  <si>
    <t xml:space="preserve">Sleepwear</t>
  </si>
  <si>
    <t xml:space="preserve">3-4 each</t>
  </si>
  <si>
    <t xml:space="preserve">Comfortable walking/beach shoes</t>
  </si>
  <si>
    <t xml:space="preserve">2 pairs each</t>
  </si>
  <si>
    <t xml:space="preserve">Frunk's drain plug makes it ideal for sandy/wet shoes</t>
  </si>
  <si>
    <t xml:space="preserve">Light jumper/fleece for evenings</t>
  </si>
  <si>
    <t xml:space="preserve">1-2 each</t>
  </si>
  <si>
    <t xml:space="preserve">Toiletries</t>
  </si>
  <si>
    <t xml:space="preserve">Toiletry bags (shower gel, shampoo, toothbrush, deodorant)</t>
  </si>
  <si>
    <t xml:space="preserve">Towels — bath towels</t>
  </si>
  <si>
    <t xml:space="preserve">per person</t>
  </si>
  <si>
    <t xml:space="preserve">Check if Floreal provides/rents linen &amp; towels — many parks don't include them</t>
  </si>
  <si>
    <t xml:space="preserve">Beach towels</t>
  </si>
  <si>
    <t xml:space="preserve">Pack these last/on top — used daily</t>
  </si>
  <si>
    <t xml:space="preserve">Nursing/maternity toiletries (nipple cream, breast pads)</t>
  </si>
  <si>
    <t xml:space="preserve">Adult (mother)</t>
  </si>
  <si>
    <t xml:space="preserve">Kitchen &amp; Self-Catering</t>
  </si>
  <si>
    <t xml:space="preserve">Tea towels / dish cloth</t>
  </si>
  <si>
    <t xml:space="preserve">Household</t>
  </si>
  <si>
    <t xml:space="preserve">Apartments are equipped but a spare set helps</t>
  </si>
  <si>
    <t xml:space="preserve">Dishwasher tablets / washing-up liquid (travel size)</t>
  </si>
  <si>
    <t xml:space="preserve">Or buy on arrival at a local Carrefour/Colruyt</t>
  </si>
  <si>
    <t xml:space="preserve">Bin bags</t>
  </si>
  <si>
    <t xml:space="preserve">Coffee/tea essentials, favourite condiments</t>
  </si>
  <si>
    <t xml:space="preserve">Optional — supermarkets are close by in Nieuwpoort</t>
  </si>
  <si>
    <t xml:space="preserve">Reusable water bottles</t>
  </si>
  <si>
    <t xml:space="preserve">Keep filled ones in the cabin for the drive</t>
  </si>
  <si>
    <t xml:space="preserve">Travel high chair / booster seat (if used for older child)</t>
  </si>
  <si>
    <t xml:space="preserve">Toddler</t>
  </si>
  <si>
    <t xml:space="preserve">Grandma's car</t>
  </si>
  <si>
    <t xml:space="preserve">Coordinate with grandmother so it isn't duplicated in both cars</t>
  </si>
  <si>
    <t xml:space="preserve">Beach &amp; Outdoors</t>
  </si>
  <si>
    <t xml:space="preserve">Beach bag</t>
  </si>
  <si>
    <t xml:space="preserve">Beach shade tent/UV pop-up for the baby</t>
  </si>
  <si>
    <t xml:space="preserve">Collapses flat — good boot filler around the stroller</t>
  </si>
  <si>
    <t xml:space="preserve">Beach chairs / windbreak</t>
  </si>
  <si>
    <t xml:space="preserve">Grandma's car / Buy there</t>
  </si>
  <si>
    <t xml:space="preserve">Bulky — consider leaving these to the other car or buying a cheap set locally</t>
  </si>
  <si>
    <t xml:space="preserve">Buckets, spades, beach toys</t>
  </si>
  <si>
    <t xml:space="preserve">Belongs with the oldest's things</t>
  </si>
  <si>
    <t xml:space="preserve">Sunglasses + sun hats (adults)</t>
  </si>
  <si>
    <t xml:space="preserve">Electronics &amp; Misc</t>
  </si>
  <si>
    <t xml:space="preserve">Phone/laptop chargers</t>
  </si>
  <si>
    <t xml:space="preserve">EV charging cable (Type 2/Mode 3, if not relying only on public DC)</t>
  </si>
  <si>
    <t xml:space="preserve">Rear trunk / underfloor</t>
  </si>
  <si>
    <t xml:space="preserve">Mach-E has hidden underfloor storage for cables — use it, frees the main boot</t>
  </si>
  <si>
    <t xml:space="preserve">Camera</t>
  </si>
  <si>
    <t xml:space="preserve">Books / e-reader, headphones</t>
  </si>
  <si>
    <t xml:space="preserve">Portable fan or clip fan for baby's room</t>
  </si>
  <si>
    <t xml:space="preserve">Floreal apartments often lack AC; useful for hot nights</t>
  </si>
  <si>
    <t xml:space="preserve">Mustang Mach-E — Car Packing Plan</t>
  </si>
  <si>
    <t xml:space="preserve">Rear trunk ≈ 402 L behind the rear seats · Frunk ≈ small, has a drain plug · Rear seats keep their child-seat row (not folded)</t>
  </si>
  <si>
    <t xml:space="preserve">Zone</t>
  </si>
  <si>
    <t xml:space="preserve">What goes here</t>
  </si>
  <si>
    <t xml:space="preserve">Why</t>
  </si>
  <si>
    <t xml:space="preserve">Loading order</t>
  </si>
  <si>
    <t xml:space="preserve">Frunk (front trunk)</t>
  </si>
  <si>
    <t xml:space="preserve">Beach/sandy shoes, wet swim things, the baby bath tub, anything damp, dirty, or smelly</t>
  </si>
  <si>
    <t xml:space="preserve">It's small but has a drain plug and sits away from clean laundry and the baby's things — ideal for anything you don't want touching the rest of your luggage</t>
  </si>
  <si>
    <t xml:space="preserve">Load 4th — fill last, once you know what's still damp/dirty from the day</t>
  </si>
  <si>
    <t xml:space="preserve">Rear trunk — bottom layer</t>
  </si>
  <si>
    <t xml:space="preserve">Mountain Buggy stroller (folded), travel cot (folded), suitcases laid flat</t>
  </si>
  <si>
    <t xml:space="preserve">These are the biggest, most rigid items. Fold the stroller and lay it flat against the seatback first — it defines how much floor space is left, so it goes in before anything else</t>
  </si>
  <si>
    <t xml:space="preserve">Load 1st</t>
  </si>
  <si>
    <t xml:space="preserve">Rear trunk — middle layer</t>
  </si>
  <si>
    <t xml:space="preserve">Soft duffel bags / packing cubes with clothing, nappies, toiletries</t>
  </si>
  <si>
    <t xml:space="preserve">Soft-sided bags flex and fill the irregular gaps left around the stroller and cot far better than hard suitcases</t>
  </si>
  <si>
    <t xml:space="preserve">Load 2nd</t>
  </si>
  <si>
    <t xml:space="preserve">Rear trunk — top layer / last-in-first-out</t>
  </si>
  <si>
    <t xml:space="preserve">Beach bag, cool bag with bottles/formula, rain covers, anything needed on a stop</t>
  </si>
  <si>
    <t xml:space="preserve">Keep tomorrow's-beach-day and any en-route items on top so you're not unpacking the whole boot at a rest stop</t>
  </si>
  <si>
    <t xml:space="preserve">Load 3rd</t>
  </si>
  <si>
    <t xml:space="preserve">Underfloor / cable storage</t>
  </si>
  <si>
    <t xml:space="preserve">EV charging cable, tyre repair kit</t>
  </si>
  <si>
    <t xml:space="preserve">The Mach-E has a hidden underfloor compartment in the rear — stow the charging cable there instead of letting it take up boot space</t>
  </si>
  <si>
    <t xml:space="preserve">Load anytime — separate from the stack above</t>
  </si>
  <si>
    <t xml:space="preserve">Cabin</t>
  </si>
  <si>
    <t xml:space="preserve">Documents, nappy-change kit for the drive, 1-2 feeds ready to go, phone chargers, a change of baby clothes, dummies, sunglasses</t>
  </si>
  <si>
    <t xml:space="preserve">Anything you might need without opening the boot mid-journey</t>
  </si>
  <si>
    <t xml:space="preserve">Load last, within arm's reach of the front seat</t>
  </si>
  <si>
    <t xml:space="preserve">Key space-saving decisions</t>
  </si>
  <si>
    <t xml:space="preserve">• Send bulky, low-priority items with grandmother's car: the older child's high chair, beach chairs/windbreak, buckets and spades. That single decision frees the most boot space of anything on this list.</t>
  </si>
  <si>
    <t xml:space="preserve">• The Mountain Buggy is the constraint, not the suitcases — fold it and place it first so you're building luggage around a known shape, not fitting it in last.</t>
  </si>
  <si>
    <t xml:space="preserve">• Swap hard suitcases for 2-3 soft duffels or packing cubes; they compress and wedge into the odd-shaped gaps a folded stroller and travel cot leave behind.</t>
  </si>
  <si>
    <t xml:space="preserve">• Ask Floreal directly whether bed linen, towels, and a baby cot/travel cot can be rented on-site — many Belgian holiday parks offer this, and skipping the travel cot alone can free up a third of the usable trunk floor.</t>
  </si>
  <si>
    <t xml:space="preserve">• Do a one-week grocery run near Wortegem/on arrival in Nieuwpoort (Carrefour, Colruyt) for nappies, wipes, and formula top-ups rather than packing the full week's supply — it's the single heaviest, bulkiest category on the list.</t>
  </si>
  <si>
    <t xml:space="preserve">• Keep a small 'first hour' bag in the cabin (nappies, wipes, one change of clothes, a ready feed, dummy) so you're not digging through the packed trunk the moment you arrive or need a stop.</t>
  </si>
  <si>
    <t xml:space="preserve">• Install the infant car seat before loading anything else, so you're not repositioning boot contents around it afterwards.</t>
  </si>
  <si>
    <t xml:space="preserve">Packing Progress Summary</t>
  </si>
  <si>
    <t xml:space="preserve">Total items on list</t>
  </si>
  <si>
    <t xml:space="preserve">Items packed (Yes)</t>
  </si>
  <si>
    <t xml:space="preserve">Items remaining</t>
  </si>
  <si>
    <t xml:space="preserve">% packed</t>
  </si>
  <si>
    <t xml:space="preserve">Items by category — rear trunk vs frunk vs cabin vs other</t>
  </si>
  <si>
    <t xml:space="preserve">Item count</t>
  </si>
  <si>
    <t xml:space="preserve">Buy there / at Floreal</t>
  </si>
  <si>
    <t xml:space="preserve">N/A</t>
  </si>
  <si>
    <t xml:space="preserve">Cabin (installed) — car seat</t>
  </si>
  <si>
    <t xml:space="preserve">Nieuwpoort — Where to Eat &amp; What to Do</t>
  </si>
  <si>
    <t xml:space="preserve">Early August · price point: € budget-friendly · €€ mid-range · €€€ higher-end</t>
  </si>
  <si>
    <t xml:space="preserve">Where to Eat</t>
  </si>
  <si>
    <t xml:space="preserve">Place</t>
  </si>
  <si>
    <t xml:space="preserve">Type</t>
  </si>
  <si>
    <t xml:space="preserve">Price</t>
  </si>
  <si>
    <t xml:space="preserve">Baby-friendly?</t>
  </si>
  <si>
    <t xml:space="preserve">Brasserie Den Artiest</t>
  </si>
  <si>
    <t xml:space="preserve">Belgian / French brasserie</t>
  </si>
  <si>
    <t xml:space="preserve">€€</t>
  </si>
  <si>
    <t xml:space="preserve">Yes</t>
  </si>
  <si>
    <t xml:space="preserve">Games, kids' menu, terrace</t>
  </si>
  <si>
    <t xml:space="preserve">Chagall Nieuwpoort</t>
  </si>
  <si>
    <t xml:space="preserve">Brasserie, local cuisine</t>
  </si>
  <si>
    <t xml:space="preserve">Relaxed, easy with a stroller</t>
  </si>
  <si>
    <t xml:space="preserve">La Marée</t>
  </si>
  <si>
    <t xml:space="preserve">Seafood, waterfront</t>
  </si>
  <si>
    <t xml:space="preserve">€€€</t>
  </si>
  <si>
    <t xml:space="preserve">Doable</t>
  </si>
  <si>
    <t xml:space="preserve">Terrace with sea/harbour view, better for an evening once baby's settled</t>
  </si>
  <si>
    <t xml:space="preserve">De Vierboete</t>
  </si>
  <si>
    <t xml:space="preserve">Belgian cuisine</t>
  </si>
  <si>
    <t xml:space="preserve">Classic Flemish restaurant, calm atmosphere</t>
  </si>
  <si>
    <t xml:space="preserve">Brasserie Sunbeach / Brasserie Casino</t>
  </si>
  <si>
    <t xml:space="preserve">Brasserie, sea view</t>
  </si>
  <si>
    <t xml:space="preserve">Nieuwpoort-Bad seafront, easy stroller access, book ahead in August</t>
  </si>
  <si>
    <t xml:space="preserve">The Sailors</t>
  </si>
  <si>
    <t xml:space="preserve">Grill / bar</t>
  </si>
  <si>
    <t xml:space="preserve">Casual, easygoing</t>
  </si>
  <si>
    <t xml:space="preserve">La Piazza</t>
  </si>
  <si>
    <t xml:space="preserve">Italian / pizza</t>
  </si>
  <si>
    <t xml:space="preserve">€ - €€</t>
  </si>
  <si>
    <t xml:space="preserve">Reliable fallback with a toddler in tow</t>
  </si>
  <si>
    <t xml:space="preserve">Tiffanys</t>
  </si>
  <si>
    <t xml:space="preserve">Belgian / French, sea view</t>
  </si>
  <si>
    <t xml:space="preserve">Seaside terrace, book ahead in August</t>
  </si>
  <si>
    <t xml:space="preserve">What to Do</t>
  </si>
  <si>
    <t xml:space="preserve">Activity</t>
  </si>
  <si>
    <t xml:space="preserve">Beach at Nieuwpoort-Bad</t>
  </si>
  <si>
    <t xml:space="preserve">Beach</t>
  </si>
  <si>
    <t xml:space="preserve">Free (chair rental extra, €)</t>
  </si>
  <si>
    <t xml:space="preserve">Yes, very</t>
  </si>
  <si>
    <t xml:space="preserve">Wide, flat, stroller-accessible; playgrounds along the beach</t>
  </si>
  <si>
    <t xml:space="preserve">Dune walks / IJzermonding nature reserve, Robert Vandammepromenade</t>
  </si>
  <si>
    <t xml:space="preserve">Nature walk</t>
  </si>
  <si>
    <t xml:space="preserve">Free</t>
  </si>
  <si>
    <t xml:space="preserve">Flat paths, ideal for the Mountain Buggy and a napping baby</t>
  </si>
  <si>
    <t xml:space="preserve">Havenrondvaart Nieuwpoort (harbour boat trip)</t>
  </si>
  <si>
    <t xml:space="preserve">Boat tour</t>
  </si>
  <si>
    <t xml:space="preserve">Workable with a carrier</t>
  </si>
  <si>
    <t xml:space="preserve">Short scenic trip around Europe's largest marina; less practical with the full stroller aboard</t>
  </si>
  <si>
    <t xml:space="preserve">Westfront Nieuwpoort (King Albert I monument/WWI centre)</t>
  </si>
  <si>
    <t xml:space="preserve">Museum</t>
  </si>
  <si>
    <t xml:space="preserve">So-so</t>
  </si>
  <si>
    <t xml:space="preserve">Indoor, some stairs — better with a carrier than the stroller; more rewarding once the oldest joins</t>
  </si>
  <si>
    <t xml:space="preserve">Kinderboerderij De Lenspolder (children's farm)</t>
  </si>
  <si>
    <t xml:space="preserve">Farm / petting zoo</t>
  </si>
  <si>
    <t xml:space="preserve">Free - €</t>
  </si>
  <si>
    <t xml:space="preserve">Yes with a carrier</t>
  </si>
  <si>
    <t xml:space="preserve">Sheep, ducks, donkeys; great for the oldest with grandma too</t>
  </si>
  <si>
    <t xml:space="preserve">Riko Indoor Speeltuin (Oostduinkerke)</t>
  </si>
  <si>
    <t xml:space="preserve">Indoor playground</t>
  </si>
  <si>
    <t xml:space="preserve">Better for the oldest</t>
  </si>
  <si>
    <t xml:space="preserve">Good rainy-day backup for grandma &amp; uncle</t>
  </si>
  <si>
    <t xml:space="preserve">Sunparks Oostduinkerke swim paradise</t>
  </si>
  <si>
    <t xml:space="preserve">Indoor water park</t>
  </si>
  <si>
    <t xml:space="preserve">Not really for a newborn</t>
  </si>
  <si>
    <t xml:space="preserve">Good option for the oldest on a poor-weather day</t>
  </si>
  <si>
    <t xml:space="preserve">Koko Loco Surfclub (beach club)</t>
  </si>
  <si>
    <t xml:space="preserve">Beach club / rentals</t>
  </si>
  <si>
    <t xml:space="preserve">Fine as a chill-out spot</t>
  </si>
  <si>
    <t xml:space="preserve">Nice for a relaxed beach afternoon with food/drink on site; surf lessons are for the oldest/adults</t>
  </si>
  <si>
    <t xml:space="preserve">Minigolf Westende</t>
  </si>
  <si>
    <t xml:space="preserve">Minigolf</t>
  </si>
  <si>
    <t xml:space="preserve">€</t>
  </si>
  <si>
    <t xml:space="preserve">Not for the baby</t>
  </si>
  <si>
    <t xml:space="preserve">Easy to split — one parent rests with baby while the other plays</t>
  </si>
  <si>
    <t xml:space="preserve">NAVIGO fisheries museum / Duinenhuis exhibition (Oostduinkerke/Koksijde)</t>
  </si>
  <si>
    <t xml:space="preserve">Museum / free exhibition</t>
  </si>
  <si>
    <t xml:space="preserve">Mixed</t>
  </si>
  <si>
    <t xml:space="preserve">Easier with a carrier than the big stroller; more geared to ages 5+</t>
  </si>
  <si>
    <t xml:space="preserve">Practical notes</t>
  </si>
  <si>
    <t xml:space="preserve">• With a 2-month-old, the realistic 'activities' are the beach, promenade, and dune walks — anything letting her sleep in the pram or ride in the carrier. Don't over-plan around her.</t>
  </si>
  <si>
    <t xml:space="preserve">• The harbour boat trip, museums, and indoor playground work much better with a carrier than with the full-size Mountain Buggy.</t>
  </si>
  <si>
    <t xml:space="preserve">• Since your oldest travels separately with grandmother and uncle, decide in advance which days you'll split (they take him to Sunparks/the indoor playground) versus days together as a full group (the farm, the beach, a family dinner).</t>
  </si>
  <si>
    <t xml:space="preserve">• Early August is peak season on the coast — book ahead for the sit-down restaurants, especially Brasserie Sunbeach, La Marée, and Tiffanys.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</si>
</sst>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64C59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A4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64C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264C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64C59"/>
        <bgColor rgb="FF1F3A40"/>
      </patternFill>
    </fill>
    <fill>
      <patternFill patternType="solid">
        <fgColor rgb="FFD9E6E8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D9E6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64C59"/>
      <rgbColor rgb="FF339966"/>
      <rgbColor rgb="FF003300"/>
      <rgbColor rgb="FF444444"/>
      <rgbColor rgb="FF993300"/>
      <rgbColor rgb="FF993366"/>
      <rgbColor rgb="FF333399"/>
      <rgbColor rgb="FF1F3A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4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5" t="s">
        <v>9</v>
      </c>
      <c r="B6" s="5" t="s">
        <v>10</v>
      </c>
      <c r="C6" s="6" t="s">
        <v>11</v>
      </c>
      <c r="D6" s="6" t="s">
        <v>12</v>
      </c>
      <c r="E6" s="5" t="s">
        <v>13</v>
      </c>
      <c r="F6" s="6" t="s">
        <v>14</v>
      </c>
      <c r="G6" s="5" t="s">
        <v>15</v>
      </c>
    </row>
    <row r="7" customFormat="false" ht="15" hidden="false" customHeight="false" outlineLevel="0" collapsed="false">
      <c r="A7" s="5" t="s">
        <v>9</v>
      </c>
      <c r="B7" s="5" t="s">
        <v>16</v>
      </c>
      <c r="C7" s="6" t="s">
        <v>17</v>
      </c>
      <c r="D7" s="6" t="s">
        <v>18</v>
      </c>
      <c r="E7" s="5" t="s">
        <v>13</v>
      </c>
      <c r="F7" s="6" t="s">
        <v>14</v>
      </c>
      <c r="G7" s="5" t="s">
        <v>19</v>
      </c>
    </row>
    <row r="8" customFormat="false" ht="23.85" hidden="false" customHeight="false" outlineLevel="0" collapsed="false">
      <c r="A8" s="5" t="s">
        <v>9</v>
      </c>
      <c r="B8" s="5" t="s">
        <v>20</v>
      </c>
      <c r="C8" s="6" t="s">
        <v>17</v>
      </c>
      <c r="D8" s="6" t="s">
        <v>18</v>
      </c>
      <c r="E8" s="5" t="s">
        <v>13</v>
      </c>
      <c r="F8" s="6" t="s">
        <v>14</v>
      </c>
      <c r="G8" s="5" t="s">
        <v>21</v>
      </c>
    </row>
    <row r="9" customFormat="false" ht="15" hidden="false" customHeight="false" outlineLevel="0" collapsed="false">
      <c r="A9" s="5" t="s">
        <v>9</v>
      </c>
      <c r="B9" s="5" t="s">
        <v>22</v>
      </c>
      <c r="C9" s="6" t="s">
        <v>23</v>
      </c>
      <c r="D9" s="6" t="s">
        <v>12</v>
      </c>
      <c r="E9" s="5" t="s">
        <v>13</v>
      </c>
      <c r="F9" s="6" t="s">
        <v>14</v>
      </c>
      <c r="G9" s="5"/>
    </row>
    <row r="10" customFormat="false" ht="15" hidden="false" customHeight="false" outlineLevel="0" collapsed="false">
      <c r="A10" s="5" t="s">
        <v>9</v>
      </c>
      <c r="B10" s="5" t="s">
        <v>24</v>
      </c>
      <c r="C10" s="6" t="s">
        <v>17</v>
      </c>
      <c r="D10" s="6" t="s">
        <v>12</v>
      </c>
      <c r="E10" s="5" t="s">
        <v>13</v>
      </c>
      <c r="F10" s="6" t="s">
        <v>14</v>
      </c>
      <c r="G10" s="5" t="s">
        <v>25</v>
      </c>
    </row>
    <row r="11" customFormat="false" ht="23.85" hidden="false" customHeight="false" outlineLevel="0" collapsed="false">
      <c r="A11" s="5" t="s">
        <v>9</v>
      </c>
      <c r="B11" s="5" t="s">
        <v>26</v>
      </c>
      <c r="C11" s="6" t="s">
        <v>11</v>
      </c>
      <c r="D11" s="6" t="s">
        <v>12</v>
      </c>
      <c r="E11" s="5" t="s">
        <v>13</v>
      </c>
      <c r="F11" s="6" t="s">
        <v>14</v>
      </c>
      <c r="G11" s="5" t="s">
        <v>27</v>
      </c>
    </row>
    <row r="12" customFormat="false" ht="23.85" hidden="false" customHeight="false" outlineLevel="0" collapsed="false">
      <c r="A12" s="5" t="s">
        <v>9</v>
      </c>
      <c r="B12" s="5" t="s">
        <v>28</v>
      </c>
      <c r="C12" s="6" t="s">
        <v>29</v>
      </c>
      <c r="D12" s="6" t="s">
        <v>12</v>
      </c>
      <c r="E12" s="5" t="s">
        <v>13</v>
      </c>
      <c r="F12" s="6" t="s">
        <v>14</v>
      </c>
      <c r="G12" s="5" t="s">
        <v>30</v>
      </c>
    </row>
    <row r="13" customFormat="false" ht="15" hidden="false" customHeight="false" outlineLevel="0" collapsed="false">
      <c r="A13" s="4" t="s">
        <v>31</v>
      </c>
      <c r="B13" s="4"/>
      <c r="C13" s="4"/>
      <c r="D13" s="4"/>
      <c r="E13" s="4"/>
      <c r="F13" s="4"/>
      <c r="G13" s="4"/>
    </row>
    <row r="14" customFormat="false" ht="15" hidden="false" customHeight="false" outlineLevel="0" collapsed="false">
      <c r="A14" s="5" t="s">
        <v>31</v>
      </c>
      <c r="B14" s="5" t="s">
        <v>32</v>
      </c>
      <c r="C14" s="6" t="s">
        <v>33</v>
      </c>
      <c r="D14" s="6" t="s">
        <v>18</v>
      </c>
      <c r="E14" s="5" t="s">
        <v>34</v>
      </c>
      <c r="F14" s="6" t="s">
        <v>14</v>
      </c>
      <c r="G14" s="5" t="s">
        <v>35</v>
      </c>
    </row>
    <row r="15" customFormat="false" ht="23.85" hidden="false" customHeight="false" outlineLevel="0" collapsed="false">
      <c r="A15" s="5" t="s">
        <v>31</v>
      </c>
      <c r="B15" s="5" t="s">
        <v>36</v>
      </c>
      <c r="C15" s="6" t="s">
        <v>37</v>
      </c>
      <c r="D15" s="6" t="s">
        <v>18</v>
      </c>
      <c r="E15" s="5" t="s">
        <v>34</v>
      </c>
      <c r="F15" s="6" t="s">
        <v>14</v>
      </c>
      <c r="G15" s="5" t="s">
        <v>38</v>
      </c>
    </row>
    <row r="16" customFormat="false" ht="15" hidden="false" customHeight="false" outlineLevel="0" collapsed="false">
      <c r="A16" s="5" t="s">
        <v>31</v>
      </c>
      <c r="B16" s="5" t="s">
        <v>39</v>
      </c>
      <c r="C16" s="6" t="s">
        <v>17</v>
      </c>
      <c r="D16" s="6" t="s">
        <v>18</v>
      </c>
      <c r="E16" s="5" t="s">
        <v>34</v>
      </c>
      <c r="F16" s="6" t="s">
        <v>14</v>
      </c>
      <c r="G16" s="5" t="s">
        <v>40</v>
      </c>
    </row>
    <row r="17" customFormat="false" ht="15" hidden="false" customHeight="false" outlineLevel="0" collapsed="false">
      <c r="A17" s="5" t="s">
        <v>31</v>
      </c>
      <c r="B17" s="5" t="s">
        <v>41</v>
      </c>
      <c r="C17" s="6" t="s">
        <v>11</v>
      </c>
      <c r="D17" s="6" t="s">
        <v>18</v>
      </c>
      <c r="E17" s="5" t="s">
        <v>13</v>
      </c>
      <c r="F17" s="6" t="s">
        <v>14</v>
      </c>
      <c r="G17" s="5" t="s">
        <v>42</v>
      </c>
    </row>
    <row r="18" customFormat="false" ht="15" hidden="false" customHeight="false" outlineLevel="0" collapsed="false">
      <c r="A18" s="5" t="s">
        <v>31</v>
      </c>
      <c r="B18" s="5" t="s">
        <v>43</v>
      </c>
      <c r="C18" s="6" t="s">
        <v>44</v>
      </c>
      <c r="D18" s="6" t="s">
        <v>18</v>
      </c>
      <c r="E18" s="5" t="s">
        <v>34</v>
      </c>
      <c r="F18" s="6" t="s">
        <v>14</v>
      </c>
      <c r="G18" s="5" t="s">
        <v>45</v>
      </c>
    </row>
    <row r="19" customFormat="false" ht="15" hidden="false" customHeight="false" outlineLevel="0" collapsed="false">
      <c r="A19" s="5" t="s">
        <v>31</v>
      </c>
      <c r="B19" s="5" t="s">
        <v>46</v>
      </c>
      <c r="C19" s="6" t="s">
        <v>33</v>
      </c>
      <c r="D19" s="6" t="s">
        <v>18</v>
      </c>
      <c r="E19" s="5" t="s">
        <v>34</v>
      </c>
      <c r="F19" s="6" t="s">
        <v>14</v>
      </c>
      <c r="G19" s="5"/>
    </row>
    <row r="20" customFormat="false" ht="15" hidden="false" customHeight="false" outlineLevel="0" collapsed="false">
      <c r="A20" s="5" t="s">
        <v>31</v>
      </c>
      <c r="B20" s="5" t="s">
        <v>47</v>
      </c>
      <c r="C20" s="6" t="s">
        <v>17</v>
      </c>
      <c r="D20" s="6" t="s">
        <v>18</v>
      </c>
      <c r="E20" s="5" t="s">
        <v>13</v>
      </c>
      <c r="F20" s="6" t="s">
        <v>14</v>
      </c>
      <c r="G20" s="5" t="s">
        <v>48</v>
      </c>
    </row>
    <row r="21" customFormat="false" ht="15" hidden="false" customHeight="false" outlineLevel="0" collapsed="false">
      <c r="A21" s="5" t="s">
        <v>31</v>
      </c>
      <c r="B21" s="5" t="s">
        <v>49</v>
      </c>
      <c r="C21" s="6" t="s">
        <v>17</v>
      </c>
      <c r="D21" s="6" t="s">
        <v>18</v>
      </c>
      <c r="E21" s="5" t="s">
        <v>34</v>
      </c>
      <c r="F21" s="6" t="s">
        <v>14</v>
      </c>
      <c r="G21" s="5" t="s">
        <v>50</v>
      </c>
    </row>
    <row r="22" customFormat="false" ht="15" hidden="false" customHeight="false" outlineLevel="0" collapsed="false">
      <c r="A22" s="4" t="s">
        <v>51</v>
      </c>
      <c r="B22" s="4"/>
      <c r="C22" s="4"/>
      <c r="D22" s="4"/>
      <c r="E22" s="4"/>
      <c r="F22" s="4"/>
      <c r="G22" s="4"/>
    </row>
    <row r="23" customFormat="false" ht="23.85" hidden="false" customHeight="false" outlineLevel="0" collapsed="false">
      <c r="A23" s="5" t="s">
        <v>51</v>
      </c>
      <c r="B23" s="5" t="s">
        <v>52</v>
      </c>
      <c r="C23" s="6" t="s">
        <v>53</v>
      </c>
      <c r="D23" s="6" t="s">
        <v>18</v>
      </c>
      <c r="E23" s="5" t="s">
        <v>34</v>
      </c>
      <c r="F23" s="6" t="s">
        <v>14</v>
      </c>
      <c r="G23" s="5" t="s">
        <v>54</v>
      </c>
    </row>
    <row r="24" customFormat="false" ht="23.85" hidden="false" customHeight="false" outlineLevel="0" collapsed="false">
      <c r="A24" s="5" t="s">
        <v>51</v>
      </c>
      <c r="B24" s="5" t="s">
        <v>55</v>
      </c>
      <c r="C24" s="6" t="s">
        <v>56</v>
      </c>
      <c r="D24" s="6" t="s">
        <v>18</v>
      </c>
      <c r="E24" s="5" t="s">
        <v>34</v>
      </c>
      <c r="F24" s="6" t="s">
        <v>14</v>
      </c>
      <c r="G24" s="5"/>
    </row>
    <row r="25" customFormat="false" ht="23.85" hidden="false" customHeight="false" outlineLevel="0" collapsed="false">
      <c r="A25" s="5" t="s">
        <v>51</v>
      </c>
      <c r="B25" s="5" t="s">
        <v>57</v>
      </c>
      <c r="C25" s="6" t="s">
        <v>17</v>
      </c>
      <c r="D25" s="6" t="s">
        <v>18</v>
      </c>
      <c r="E25" s="5" t="s">
        <v>34</v>
      </c>
      <c r="F25" s="6" t="s">
        <v>14</v>
      </c>
      <c r="G25" s="5" t="s">
        <v>58</v>
      </c>
    </row>
    <row r="26" customFormat="false" ht="23.85" hidden="false" customHeight="false" outlineLevel="0" collapsed="false">
      <c r="A26" s="5" t="s">
        <v>51</v>
      </c>
      <c r="B26" s="5" t="s">
        <v>59</v>
      </c>
      <c r="C26" s="6" t="s">
        <v>60</v>
      </c>
      <c r="D26" s="6" t="s">
        <v>18</v>
      </c>
      <c r="E26" s="5" t="s">
        <v>34</v>
      </c>
      <c r="F26" s="6" t="s">
        <v>14</v>
      </c>
      <c r="G26" s="5"/>
    </row>
    <row r="27" customFormat="false" ht="23.85" hidden="false" customHeight="false" outlineLevel="0" collapsed="false">
      <c r="A27" s="5" t="s">
        <v>51</v>
      </c>
      <c r="B27" s="5" t="s">
        <v>61</v>
      </c>
      <c r="C27" s="6" t="s">
        <v>17</v>
      </c>
      <c r="D27" s="6" t="s">
        <v>18</v>
      </c>
      <c r="E27" s="5" t="s">
        <v>34</v>
      </c>
      <c r="F27" s="6" t="s">
        <v>14</v>
      </c>
      <c r="G27" s="5"/>
    </row>
    <row r="28" customFormat="false" ht="23.85" hidden="false" customHeight="false" outlineLevel="0" collapsed="false">
      <c r="A28" s="5" t="s">
        <v>51</v>
      </c>
      <c r="B28" s="5" t="s">
        <v>62</v>
      </c>
      <c r="C28" s="6" t="s">
        <v>63</v>
      </c>
      <c r="D28" s="6" t="s">
        <v>18</v>
      </c>
      <c r="E28" s="5" t="s">
        <v>34</v>
      </c>
      <c r="F28" s="6" t="s">
        <v>14</v>
      </c>
      <c r="G28" s="5" t="s">
        <v>64</v>
      </c>
    </row>
    <row r="29" customFormat="false" ht="15" hidden="false" customHeight="false" outlineLevel="0" collapsed="false">
      <c r="A29" s="4" t="s">
        <v>65</v>
      </c>
      <c r="B29" s="4"/>
      <c r="C29" s="4"/>
      <c r="D29" s="4"/>
      <c r="E29" s="4"/>
      <c r="F29" s="4"/>
      <c r="G29" s="4"/>
    </row>
    <row r="30" customFormat="false" ht="15" hidden="false" customHeight="false" outlineLevel="0" collapsed="false">
      <c r="A30" s="5" t="s">
        <v>65</v>
      </c>
      <c r="B30" s="5" t="s">
        <v>66</v>
      </c>
      <c r="C30" s="6" t="s">
        <v>67</v>
      </c>
      <c r="D30" s="6" t="s">
        <v>18</v>
      </c>
      <c r="E30" s="5" t="s">
        <v>34</v>
      </c>
      <c r="F30" s="6" t="s">
        <v>14</v>
      </c>
      <c r="G30" s="5" t="s">
        <v>68</v>
      </c>
    </row>
    <row r="31" customFormat="false" ht="15" hidden="false" customHeight="false" outlineLevel="0" collapsed="false">
      <c r="A31" s="5" t="s">
        <v>65</v>
      </c>
      <c r="B31" s="5" t="s">
        <v>69</v>
      </c>
      <c r="C31" s="6" t="s">
        <v>44</v>
      </c>
      <c r="D31" s="6" t="s">
        <v>18</v>
      </c>
      <c r="E31" s="5" t="s">
        <v>34</v>
      </c>
      <c r="F31" s="6" t="s">
        <v>14</v>
      </c>
      <c r="G31" s="5"/>
    </row>
    <row r="32" customFormat="false" ht="15" hidden="false" customHeight="false" outlineLevel="0" collapsed="false">
      <c r="A32" s="5" t="s">
        <v>65</v>
      </c>
      <c r="B32" s="5" t="s">
        <v>70</v>
      </c>
      <c r="C32" s="6" t="s">
        <v>71</v>
      </c>
      <c r="D32" s="6" t="s">
        <v>18</v>
      </c>
      <c r="E32" s="5" t="s">
        <v>34</v>
      </c>
      <c r="F32" s="6" t="s">
        <v>14</v>
      </c>
      <c r="G32" s="5" t="s">
        <v>72</v>
      </c>
    </row>
    <row r="33" customFormat="false" ht="15" hidden="false" customHeight="false" outlineLevel="0" collapsed="false">
      <c r="A33" s="5" t="s">
        <v>65</v>
      </c>
      <c r="B33" s="5" t="s">
        <v>73</v>
      </c>
      <c r="C33" s="6" t="s">
        <v>74</v>
      </c>
      <c r="D33" s="6" t="s">
        <v>18</v>
      </c>
      <c r="E33" s="5" t="s">
        <v>34</v>
      </c>
      <c r="F33" s="6" t="s">
        <v>14</v>
      </c>
      <c r="G33" s="5" t="s">
        <v>75</v>
      </c>
    </row>
    <row r="34" customFormat="false" ht="15" hidden="false" customHeight="false" outlineLevel="0" collapsed="false">
      <c r="A34" s="5" t="s">
        <v>65</v>
      </c>
      <c r="B34" s="5" t="s">
        <v>76</v>
      </c>
      <c r="C34" s="6" t="s">
        <v>77</v>
      </c>
      <c r="D34" s="6" t="s">
        <v>18</v>
      </c>
      <c r="E34" s="5" t="s">
        <v>34</v>
      </c>
      <c r="F34" s="6" t="s">
        <v>14</v>
      </c>
      <c r="G34" s="5"/>
    </row>
    <row r="35" customFormat="false" ht="15" hidden="false" customHeight="false" outlineLevel="0" collapsed="false">
      <c r="A35" s="5" t="s">
        <v>65</v>
      </c>
      <c r="B35" s="5" t="s">
        <v>78</v>
      </c>
      <c r="C35" s="6" t="s">
        <v>79</v>
      </c>
      <c r="D35" s="6" t="s">
        <v>18</v>
      </c>
      <c r="E35" s="5" t="s">
        <v>34</v>
      </c>
      <c r="F35" s="6" t="s">
        <v>14</v>
      </c>
      <c r="G35" s="5" t="s">
        <v>80</v>
      </c>
    </row>
    <row r="36" customFormat="false" ht="15" hidden="false" customHeight="false" outlineLevel="0" collapsed="false">
      <c r="A36" s="5" t="s">
        <v>65</v>
      </c>
      <c r="B36" s="5" t="s">
        <v>81</v>
      </c>
      <c r="C36" s="6" t="s">
        <v>17</v>
      </c>
      <c r="D36" s="6" t="s">
        <v>18</v>
      </c>
      <c r="E36" s="5" t="s">
        <v>34</v>
      </c>
      <c r="F36" s="6" t="s">
        <v>14</v>
      </c>
      <c r="G36" s="5" t="s">
        <v>82</v>
      </c>
    </row>
    <row r="37" customFormat="false" ht="15" hidden="false" customHeight="false" outlineLevel="0" collapsed="false">
      <c r="A37" s="4" t="s">
        <v>83</v>
      </c>
      <c r="B37" s="4"/>
      <c r="C37" s="4"/>
      <c r="D37" s="4"/>
      <c r="E37" s="4"/>
      <c r="F37" s="4"/>
      <c r="G37" s="4"/>
    </row>
    <row r="38" customFormat="false" ht="23.85" hidden="false" customHeight="false" outlineLevel="0" collapsed="false">
      <c r="A38" s="5" t="s">
        <v>83</v>
      </c>
      <c r="B38" s="5" t="s">
        <v>84</v>
      </c>
      <c r="C38" s="6" t="s">
        <v>17</v>
      </c>
      <c r="D38" s="6" t="s">
        <v>18</v>
      </c>
      <c r="E38" s="5" t="s">
        <v>34</v>
      </c>
      <c r="F38" s="6" t="s">
        <v>14</v>
      </c>
      <c r="G38" s="5" t="s">
        <v>85</v>
      </c>
    </row>
    <row r="39" customFormat="false" ht="23.85" hidden="false" customHeight="false" outlineLevel="0" collapsed="false">
      <c r="A39" s="5" t="s">
        <v>83</v>
      </c>
      <c r="B39" s="5" t="s">
        <v>86</v>
      </c>
      <c r="C39" s="6" t="s">
        <v>74</v>
      </c>
      <c r="D39" s="6" t="s">
        <v>18</v>
      </c>
      <c r="E39" s="5" t="s">
        <v>34</v>
      </c>
      <c r="F39" s="6" t="s">
        <v>14</v>
      </c>
      <c r="G39" s="5"/>
    </row>
    <row r="40" customFormat="false" ht="23.85" hidden="false" customHeight="false" outlineLevel="0" collapsed="false">
      <c r="A40" s="5" t="s">
        <v>83</v>
      </c>
      <c r="B40" s="5" t="s">
        <v>87</v>
      </c>
      <c r="C40" s="6" t="s">
        <v>17</v>
      </c>
      <c r="D40" s="6" t="s">
        <v>18</v>
      </c>
      <c r="E40" s="5" t="s">
        <v>34</v>
      </c>
      <c r="F40" s="6" t="s">
        <v>14</v>
      </c>
      <c r="G40" s="5" t="s">
        <v>88</v>
      </c>
    </row>
    <row r="41" customFormat="false" ht="23.85" hidden="false" customHeight="false" outlineLevel="0" collapsed="false">
      <c r="A41" s="5" t="s">
        <v>83</v>
      </c>
      <c r="B41" s="5" t="s">
        <v>89</v>
      </c>
      <c r="C41" s="6" t="s">
        <v>17</v>
      </c>
      <c r="D41" s="6" t="s">
        <v>18</v>
      </c>
      <c r="E41" s="5" t="s">
        <v>90</v>
      </c>
      <c r="F41" s="6" t="s">
        <v>14</v>
      </c>
      <c r="G41" s="5" t="s">
        <v>91</v>
      </c>
    </row>
    <row r="42" customFormat="false" ht="23.85" hidden="false" customHeight="false" outlineLevel="0" collapsed="false">
      <c r="A42" s="5" t="s">
        <v>83</v>
      </c>
      <c r="B42" s="5" t="s">
        <v>92</v>
      </c>
      <c r="C42" s="6" t="s">
        <v>17</v>
      </c>
      <c r="D42" s="6" t="s">
        <v>18</v>
      </c>
      <c r="E42" s="5" t="s">
        <v>34</v>
      </c>
      <c r="F42" s="6" t="s">
        <v>14</v>
      </c>
      <c r="G42" s="5" t="s">
        <v>93</v>
      </c>
    </row>
    <row r="43" customFormat="false" ht="23.85" hidden="false" customHeight="false" outlineLevel="0" collapsed="false">
      <c r="A43" s="5" t="s">
        <v>83</v>
      </c>
      <c r="B43" s="5" t="s">
        <v>94</v>
      </c>
      <c r="C43" s="6" t="s">
        <v>95</v>
      </c>
      <c r="D43" s="6" t="s">
        <v>18</v>
      </c>
      <c r="E43" s="5" t="s">
        <v>34</v>
      </c>
      <c r="F43" s="6" t="s">
        <v>14</v>
      </c>
      <c r="G43" s="5" t="s">
        <v>96</v>
      </c>
    </row>
    <row r="44" customFormat="false" ht="23.85" hidden="false" customHeight="false" outlineLevel="0" collapsed="false">
      <c r="A44" s="5" t="s">
        <v>83</v>
      </c>
      <c r="B44" s="5" t="s">
        <v>97</v>
      </c>
      <c r="C44" s="6" t="s">
        <v>17</v>
      </c>
      <c r="D44" s="6" t="s">
        <v>18</v>
      </c>
      <c r="E44" s="5" t="s">
        <v>13</v>
      </c>
      <c r="F44" s="6" t="s">
        <v>14</v>
      </c>
      <c r="G44" s="5" t="s">
        <v>98</v>
      </c>
    </row>
    <row r="45" customFormat="false" ht="23.85" hidden="false" customHeight="false" outlineLevel="0" collapsed="false">
      <c r="A45" s="5" t="s">
        <v>83</v>
      </c>
      <c r="B45" s="5" t="s">
        <v>99</v>
      </c>
      <c r="C45" s="6" t="s">
        <v>17</v>
      </c>
      <c r="D45" s="6" t="s">
        <v>18</v>
      </c>
      <c r="E45" s="5" t="s">
        <v>100</v>
      </c>
      <c r="F45" s="6" t="s">
        <v>14</v>
      </c>
      <c r="G45" s="5" t="s">
        <v>101</v>
      </c>
    </row>
    <row r="46" customFormat="false" ht="23.85" hidden="false" customHeight="false" outlineLevel="0" collapsed="false">
      <c r="A46" s="5" t="s">
        <v>83</v>
      </c>
      <c r="B46" s="5" t="s">
        <v>102</v>
      </c>
      <c r="C46" s="6" t="s">
        <v>11</v>
      </c>
      <c r="D46" s="6" t="s">
        <v>18</v>
      </c>
      <c r="E46" s="5" t="s">
        <v>34</v>
      </c>
      <c r="F46" s="6" t="s">
        <v>14</v>
      </c>
      <c r="G46" s="5"/>
    </row>
    <row r="47" customFormat="false" ht="23.85" hidden="false" customHeight="false" outlineLevel="0" collapsed="false">
      <c r="A47" s="5" t="s">
        <v>83</v>
      </c>
      <c r="B47" s="5" t="s">
        <v>103</v>
      </c>
      <c r="C47" s="6" t="s">
        <v>17</v>
      </c>
      <c r="D47" s="6" t="s">
        <v>18</v>
      </c>
      <c r="E47" s="5" t="s">
        <v>34</v>
      </c>
      <c r="F47" s="6" t="s">
        <v>14</v>
      </c>
      <c r="G47" s="5"/>
    </row>
    <row r="48" customFormat="false" ht="23.85" hidden="false" customHeight="false" outlineLevel="0" collapsed="false">
      <c r="A48" s="5" t="s">
        <v>83</v>
      </c>
      <c r="B48" s="5" t="s">
        <v>104</v>
      </c>
      <c r="C48" s="6" t="s">
        <v>71</v>
      </c>
      <c r="D48" s="6" t="s">
        <v>18</v>
      </c>
      <c r="E48" s="5" t="s">
        <v>13</v>
      </c>
      <c r="F48" s="6" t="s">
        <v>14</v>
      </c>
      <c r="G48" s="5"/>
    </row>
    <row r="49" customFormat="false" ht="23.85" hidden="false" customHeight="false" outlineLevel="0" collapsed="false">
      <c r="A49" s="5" t="s">
        <v>83</v>
      </c>
      <c r="B49" s="5" t="s">
        <v>105</v>
      </c>
      <c r="C49" s="6" t="s">
        <v>71</v>
      </c>
      <c r="D49" s="6" t="s">
        <v>18</v>
      </c>
      <c r="E49" s="5" t="s">
        <v>13</v>
      </c>
      <c r="F49" s="6" t="s">
        <v>14</v>
      </c>
      <c r="G49" s="5"/>
    </row>
    <row r="50" customFormat="false" ht="15" hidden="false" customHeight="false" outlineLevel="0" collapsed="false">
      <c r="A50" s="4" t="s">
        <v>106</v>
      </c>
      <c r="B50" s="4"/>
      <c r="C50" s="4"/>
      <c r="D50" s="4"/>
      <c r="E50" s="4"/>
      <c r="F50" s="4"/>
      <c r="G50" s="4"/>
    </row>
    <row r="51" customFormat="false" ht="23.85" hidden="false" customHeight="false" outlineLevel="0" collapsed="false">
      <c r="A51" s="5" t="s">
        <v>106</v>
      </c>
      <c r="B51" s="5" t="s">
        <v>107</v>
      </c>
      <c r="C51" s="6" t="s">
        <v>17</v>
      </c>
      <c r="D51" s="6" t="s">
        <v>18</v>
      </c>
      <c r="E51" s="5" t="s">
        <v>34</v>
      </c>
      <c r="F51" s="6" t="s">
        <v>14</v>
      </c>
      <c r="G51" s="5" t="s">
        <v>108</v>
      </c>
    </row>
    <row r="52" customFormat="false" ht="15" hidden="false" customHeight="false" outlineLevel="0" collapsed="false">
      <c r="A52" s="5" t="s">
        <v>106</v>
      </c>
      <c r="B52" s="5" t="s">
        <v>109</v>
      </c>
      <c r="C52" s="6" t="s">
        <v>17</v>
      </c>
      <c r="D52" s="6" t="s">
        <v>18</v>
      </c>
      <c r="E52" s="5" t="s">
        <v>34</v>
      </c>
      <c r="F52" s="6" t="s">
        <v>14</v>
      </c>
      <c r="G52" s="5"/>
    </row>
    <row r="53" customFormat="false" ht="15" hidden="false" customHeight="false" outlineLevel="0" collapsed="false">
      <c r="A53" s="5" t="s">
        <v>106</v>
      </c>
      <c r="B53" s="5" t="s">
        <v>110</v>
      </c>
      <c r="C53" s="6" t="s">
        <v>17</v>
      </c>
      <c r="D53" s="6" t="s">
        <v>18</v>
      </c>
      <c r="E53" s="5" t="s">
        <v>34</v>
      </c>
      <c r="F53" s="6" t="s">
        <v>14</v>
      </c>
      <c r="G53" s="5"/>
    </row>
    <row r="54" customFormat="false" ht="15" hidden="false" customHeight="false" outlineLevel="0" collapsed="false">
      <c r="A54" s="5" t="s">
        <v>106</v>
      </c>
      <c r="B54" s="5" t="s">
        <v>111</v>
      </c>
      <c r="C54" s="6" t="s">
        <v>17</v>
      </c>
      <c r="D54" s="6" t="s">
        <v>12</v>
      </c>
      <c r="E54" s="5" t="s">
        <v>34</v>
      </c>
      <c r="F54" s="6" t="s">
        <v>14</v>
      </c>
      <c r="G54" s="5"/>
    </row>
    <row r="55" customFormat="false" ht="15" hidden="false" customHeight="false" outlineLevel="0" collapsed="false">
      <c r="A55" s="5" t="s">
        <v>106</v>
      </c>
      <c r="B55" s="5" t="s">
        <v>112</v>
      </c>
      <c r="C55" s="6" t="s">
        <v>113</v>
      </c>
      <c r="D55" s="6" t="s">
        <v>114</v>
      </c>
      <c r="E55" s="5" t="s">
        <v>13</v>
      </c>
      <c r="F55" s="6" t="s">
        <v>14</v>
      </c>
      <c r="G55" s="5"/>
    </row>
    <row r="56" customFormat="false" ht="23.85" hidden="false" customHeight="false" outlineLevel="0" collapsed="false">
      <c r="A56" s="5" t="s">
        <v>106</v>
      </c>
      <c r="B56" s="5" t="s">
        <v>115</v>
      </c>
      <c r="C56" s="6" t="s">
        <v>74</v>
      </c>
      <c r="D56" s="6" t="s">
        <v>12</v>
      </c>
      <c r="E56" s="5" t="s">
        <v>34</v>
      </c>
      <c r="F56" s="6" t="s">
        <v>14</v>
      </c>
      <c r="G56" s="5" t="s">
        <v>116</v>
      </c>
    </row>
    <row r="57" customFormat="false" ht="15" hidden="false" customHeight="false" outlineLevel="0" collapsed="false">
      <c r="A57" s="5" t="s">
        <v>106</v>
      </c>
      <c r="B57" s="5" t="s">
        <v>117</v>
      </c>
      <c r="C57" s="6" t="s">
        <v>17</v>
      </c>
      <c r="D57" s="6" t="s">
        <v>12</v>
      </c>
      <c r="E57" s="5" t="s">
        <v>34</v>
      </c>
      <c r="F57" s="6" t="s">
        <v>14</v>
      </c>
      <c r="G57" s="5"/>
    </row>
    <row r="58" customFormat="false" ht="15" hidden="false" customHeight="false" outlineLevel="0" collapsed="false">
      <c r="A58" s="5" t="s">
        <v>106</v>
      </c>
      <c r="B58" s="5" t="s">
        <v>118</v>
      </c>
      <c r="C58" s="6" t="s">
        <v>17</v>
      </c>
      <c r="D58" s="6" t="s">
        <v>12</v>
      </c>
      <c r="E58" s="5" t="s">
        <v>34</v>
      </c>
      <c r="F58" s="6" t="s">
        <v>14</v>
      </c>
      <c r="G58" s="5"/>
    </row>
    <row r="59" customFormat="false" ht="15" hidden="false" customHeight="false" outlineLevel="0" collapsed="false">
      <c r="A59" s="4" t="s">
        <v>119</v>
      </c>
      <c r="B59" s="4"/>
      <c r="C59" s="4"/>
      <c r="D59" s="4"/>
      <c r="E59" s="4"/>
      <c r="F59" s="4"/>
      <c r="G59" s="4"/>
    </row>
    <row r="60" customFormat="false" ht="23.85" hidden="false" customHeight="false" outlineLevel="0" collapsed="false">
      <c r="A60" s="5" t="s">
        <v>119</v>
      </c>
      <c r="B60" s="5" t="s">
        <v>120</v>
      </c>
      <c r="C60" s="6" t="s">
        <v>121</v>
      </c>
      <c r="D60" s="6" t="s">
        <v>114</v>
      </c>
      <c r="E60" s="5" t="s">
        <v>34</v>
      </c>
      <c r="F60" s="6" t="s">
        <v>14</v>
      </c>
      <c r="G60" s="5" t="s">
        <v>122</v>
      </c>
    </row>
    <row r="61" customFormat="false" ht="15" hidden="false" customHeight="false" outlineLevel="0" collapsed="false">
      <c r="A61" s="5" t="s">
        <v>119</v>
      </c>
      <c r="B61" s="5" t="s">
        <v>123</v>
      </c>
      <c r="C61" s="6" t="s">
        <v>95</v>
      </c>
      <c r="D61" s="6" t="s">
        <v>114</v>
      </c>
      <c r="E61" s="5" t="s">
        <v>34</v>
      </c>
      <c r="F61" s="6" t="s">
        <v>14</v>
      </c>
      <c r="G61" s="5" t="s">
        <v>124</v>
      </c>
    </row>
    <row r="62" customFormat="false" ht="15" hidden="false" customHeight="false" outlineLevel="0" collapsed="false">
      <c r="A62" s="5" t="s">
        <v>119</v>
      </c>
      <c r="B62" s="5" t="s">
        <v>125</v>
      </c>
      <c r="C62" s="6" t="s">
        <v>126</v>
      </c>
      <c r="D62" s="6" t="s">
        <v>114</v>
      </c>
      <c r="E62" s="5" t="s">
        <v>34</v>
      </c>
      <c r="F62" s="6" t="s">
        <v>14</v>
      </c>
      <c r="G62" s="5"/>
    </row>
    <row r="63" customFormat="false" ht="15" hidden="false" customHeight="false" outlineLevel="0" collapsed="false">
      <c r="A63" s="5" t="s">
        <v>119</v>
      </c>
      <c r="B63" s="5" t="s">
        <v>127</v>
      </c>
      <c r="C63" s="6" t="s">
        <v>128</v>
      </c>
      <c r="D63" s="6" t="s">
        <v>114</v>
      </c>
      <c r="E63" s="5" t="s">
        <v>34</v>
      </c>
      <c r="F63" s="6" t="s">
        <v>14</v>
      </c>
      <c r="G63" s="5"/>
    </row>
    <row r="64" customFormat="false" ht="15" hidden="false" customHeight="false" outlineLevel="0" collapsed="false">
      <c r="A64" s="5" t="s">
        <v>119</v>
      </c>
      <c r="B64" s="5" t="s">
        <v>129</v>
      </c>
      <c r="C64" s="6" t="s">
        <v>130</v>
      </c>
      <c r="D64" s="6" t="s">
        <v>114</v>
      </c>
      <c r="E64" s="5" t="s">
        <v>100</v>
      </c>
      <c r="F64" s="6" t="s">
        <v>14</v>
      </c>
      <c r="G64" s="5" t="s">
        <v>131</v>
      </c>
    </row>
    <row r="65" customFormat="false" ht="15" hidden="false" customHeight="false" outlineLevel="0" collapsed="false">
      <c r="A65" s="5" t="s">
        <v>119</v>
      </c>
      <c r="B65" s="5" t="s">
        <v>132</v>
      </c>
      <c r="C65" s="6" t="s">
        <v>133</v>
      </c>
      <c r="D65" s="6" t="s">
        <v>114</v>
      </c>
      <c r="E65" s="5" t="s">
        <v>34</v>
      </c>
      <c r="F65" s="6" t="s">
        <v>14</v>
      </c>
      <c r="G65" s="5"/>
    </row>
    <row r="66" customFormat="false" ht="15" hidden="false" customHeight="false" outlineLevel="0" collapsed="false">
      <c r="A66" s="4" t="s">
        <v>134</v>
      </c>
      <c r="B66" s="4"/>
      <c r="C66" s="4"/>
      <c r="D66" s="4"/>
      <c r="E66" s="4"/>
      <c r="F66" s="4"/>
      <c r="G66" s="4"/>
    </row>
    <row r="67" customFormat="false" ht="23.85" hidden="false" customHeight="false" outlineLevel="0" collapsed="false">
      <c r="A67" s="5" t="s">
        <v>134</v>
      </c>
      <c r="B67" s="5" t="s">
        <v>135</v>
      </c>
      <c r="C67" s="6" t="s">
        <v>95</v>
      </c>
      <c r="D67" s="6" t="s">
        <v>114</v>
      </c>
      <c r="E67" s="5" t="s">
        <v>34</v>
      </c>
      <c r="F67" s="6" t="s">
        <v>14</v>
      </c>
      <c r="G67" s="5"/>
    </row>
    <row r="68" customFormat="false" ht="23.85" hidden="false" customHeight="false" outlineLevel="0" collapsed="false">
      <c r="A68" s="5" t="s">
        <v>134</v>
      </c>
      <c r="B68" s="5" t="s">
        <v>136</v>
      </c>
      <c r="C68" s="6" t="s">
        <v>137</v>
      </c>
      <c r="D68" s="6" t="s">
        <v>12</v>
      </c>
      <c r="E68" s="5" t="s">
        <v>34</v>
      </c>
      <c r="F68" s="6" t="s">
        <v>14</v>
      </c>
      <c r="G68" s="5" t="s">
        <v>138</v>
      </c>
    </row>
    <row r="69" customFormat="false" ht="15" hidden="false" customHeight="false" outlineLevel="0" collapsed="false">
      <c r="A69" s="5" t="s">
        <v>134</v>
      </c>
      <c r="B69" s="5" t="s">
        <v>139</v>
      </c>
      <c r="C69" s="6" t="s">
        <v>71</v>
      </c>
      <c r="D69" s="6" t="s">
        <v>12</v>
      </c>
      <c r="E69" s="5" t="s">
        <v>34</v>
      </c>
      <c r="F69" s="6" t="s">
        <v>14</v>
      </c>
      <c r="G69" s="5" t="s">
        <v>140</v>
      </c>
    </row>
    <row r="70" customFormat="false" ht="23.85" hidden="false" customHeight="false" outlineLevel="0" collapsed="false">
      <c r="A70" s="5" t="s">
        <v>134</v>
      </c>
      <c r="B70" s="5" t="s">
        <v>141</v>
      </c>
      <c r="C70" s="6" t="s">
        <v>113</v>
      </c>
      <c r="D70" s="6" t="s">
        <v>142</v>
      </c>
      <c r="E70" s="5" t="s">
        <v>34</v>
      </c>
      <c r="F70" s="6" t="s">
        <v>14</v>
      </c>
      <c r="G70" s="5"/>
    </row>
    <row r="71" customFormat="false" ht="15" hidden="false" customHeight="false" outlineLevel="0" collapsed="false">
      <c r="A71" s="4" t="s">
        <v>143</v>
      </c>
      <c r="B71" s="4"/>
      <c r="C71" s="4"/>
      <c r="D71" s="4"/>
      <c r="E71" s="4"/>
      <c r="F71" s="4"/>
      <c r="G71" s="4"/>
    </row>
    <row r="72" customFormat="false" ht="15" hidden="false" customHeight="false" outlineLevel="0" collapsed="false">
      <c r="A72" s="5" t="s">
        <v>143</v>
      </c>
      <c r="B72" s="5" t="s">
        <v>144</v>
      </c>
      <c r="C72" s="6" t="s">
        <v>71</v>
      </c>
      <c r="D72" s="6" t="s">
        <v>145</v>
      </c>
      <c r="E72" s="5" t="s">
        <v>34</v>
      </c>
      <c r="F72" s="6" t="s">
        <v>14</v>
      </c>
      <c r="G72" s="5" t="s">
        <v>146</v>
      </c>
    </row>
    <row r="73" customFormat="false" ht="15" hidden="false" customHeight="false" outlineLevel="0" collapsed="false">
      <c r="A73" s="5" t="s">
        <v>143</v>
      </c>
      <c r="B73" s="5" t="s">
        <v>147</v>
      </c>
      <c r="C73" s="6" t="s">
        <v>17</v>
      </c>
      <c r="D73" s="6" t="s">
        <v>145</v>
      </c>
      <c r="E73" s="5" t="s">
        <v>34</v>
      </c>
      <c r="F73" s="6" t="s">
        <v>14</v>
      </c>
      <c r="G73" s="5" t="s">
        <v>148</v>
      </c>
    </row>
    <row r="74" customFormat="false" ht="15" hidden="false" customHeight="false" outlineLevel="0" collapsed="false">
      <c r="A74" s="5" t="s">
        <v>143</v>
      </c>
      <c r="B74" s="5" t="s">
        <v>149</v>
      </c>
      <c r="C74" s="6" t="s">
        <v>60</v>
      </c>
      <c r="D74" s="6" t="s">
        <v>145</v>
      </c>
      <c r="E74" s="5" t="s">
        <v>34</v>
      </c>
      <c r="F74" s="6" t="s">
        <v>14</v>
      </c>
      <c r="G74" s="5"/>
    </row>
    <row r="75" customFormat="false" ht="15" hidden="false" customHeight="false" outlineLevel="0" collapsed="false">
      <c r="A75" s="5" t="s">
        <v>143</v>
      </c>
      <c r="B75" s="5" t="s">
        <v>150</v>
      </c>
      <c r="C75" s="6" t="s">
        <v>113</v>
      </c>
      <c r="D75" s="6" t="s">
        <v>145</v>
      </c>
      <c r="E75" s="5" t="s">
        <v>34</v>
      </c>
      <c r="F75" s="6" t="s">
        <v>14</v>
      </c>
      <c r="G75" s="5" t="s">
        <v>151</v>
      </c>
    </row>
    <row r="76" customFormat="false" ht="15" hidden="false" customHeight="false" outlineLevel="0" collapsed="false">
      <c r="A76" s="5" t="s">
        <v>143</v>
      </c>
      <c r="B76" s="5" t="s">
        <v>152</v>
      </c>
      <c r="C76" s="6" t="s">
        <v>95</v>
      </c>
      <c r="D76" s="6" t="s">
        <v>12</v>
      </c>
      <c r="E76" s="5" t="s">
        <v>13</v>
      </c>
      <c r="F76" s="6" t="s">
        <v>14</v>
      </c>
      <c r="G76" s="5" t="s">
        <v>153</v>
      </c>
    </row>
    <row r="77" customFormat="false" ht="23.85" hidden="false" customHeight="false" outlineLevel="0" collapsed="false">
      <c r="A77" s="5" t="s">
        <v>143</v>
      </c>
      <c r="B77" s="5" t="s">
        <v>154</v>
      </c>
      <c r="C77" s="6" t="s">
        <v>17</v>
      </c>
      <c r="D77" s="6" t="s">
        <v>155</v>
      </c>
      <c r="E77" s="5" t="s">
        <v>156</v>
      </c>
      <c r="F77" s="6" t="s">
        <v>14</v>
      </c>
      <c r="G77" s="5" t="s">
        <v>157</v>
      </c>
    </row>
    <row r="78" customFormat="false" ht="15" hidden="false" customHeight="false" outlineLevel="0" collapsed="false">
      <c r="A78" s="4" t="s">
        <v>158</v>
      </c>
      <c r="B78" s="4"/>
      <c r="C78" s="4"/>
      <c r="D78" s="4"/>
      <c r="E78" s="4"/>
      <c r="F78" s="4"/>
      <c r="G78" s="4"/>
    </row>
    <row r="79" customFormat="false" ht="15" hidden="false" customHeight="false" outlineLevel="0" collapsed="false">
      <c r="A79" s="5" t="s">
        <v>158</v>
      </c>
      <c r="B79" s="5" t="s">
        <v>159</v>
      </c>
      <c r="C79" s="6" t="s">
        <v>29</v>
      </c>
      <c r="D79" s="6" t="s">
        <v>12</v>
      </c>
      <c r="E79" s="5" t="s">
        <v>34</v>
      </c>
      <c r="F79" s="6" t="s">
        <v>14</v>
      </c>
      <c r="G79" s="5"/>
    </row>
    <row r="80" customFormat="false" ht="15" hidden="false" customHeight="false" outlineLevel="0" collapsed="false">
      <c r="A80" s="5" t="s">
        <v>158</v>
      </c>
      <c r="B80" s="5" t="s">
        <v>160</v>
      </c>
      <c r="C80" s="6" t="s">
        <v>17</v>
      </c>
      <c r="D80" s="6" t="s">
        <v>18</v>
      </c>
      <c r="E80" s="5" t="s">
        <v>34</v>
      </c>
      <c r="F80" s="6" t="s">
        <v>14</v>
      </c>
      <c r="G80" s="5" t="s">
        <v>161</v>
      </c>
    </row>
    <row r="81" customFormat="false" ht="23.85" hidden="false" customHeight="false" outlineLevel="0" collapsed="false">
      <c r="A81" s="5" t="s">
        <v>158</v>
      </c>
      <c r="B81" s="5" t="s">
        <v>162</v>
      </c>
      <c r="C81" s="6" t="s">
        <v>11</v>
      </c>
      <c r="D81" s="6" t="s">
        <v>12</v>
      </c>
      <c r="E81" s="5" t="s">
        <v>163</v>
      </c>
      <c r="F81" s="6" t="s">
        <v>14</v>
      </c>
      <c r="G81" s="5" t="s">
        <v>164</v>
      </c>
    </row>
    <row r="82" customFormat="false" ht="15" hidden="false" customHeight="false" outlineLevel="0" collapsed="false">
      <c r="A82" s="5" t="s">
        <v>158</v>
      </c>
      <c r="B82" s="5" t="s">
        <v>165</v>
      </c>
      <c r="C82" s="6" t="s">
        <v>11</v>
      </c>
      <c r="D82" s="6" t="s">
        <v>155</v>
      </c>
      <c r="E82" s="5" t="s">
        <v>156</v>
      </c>
      <c r="F82" s="6" t="s">
        <v>14</v>
      </c>
      <c r="G82" s="5" t="s">
        <v>166</v>
      </c>
    </row>
    <row r="83" customFormat="false" ht="15" hidden="false" customHeight="false" outlineLevel="0" collapsed="false">
      <c r="A83" s="5" t="s">
        <v>158</v>
      </c>
      <c r="B83" s="5" t="s">
        <v>167</v>
      </c>
      <c r="C83" s="6" t="s">
        <v>95</v>
      </c>
      <c r="D83" s="6" t="s">
        <v>114</v>
      </c>
      <c r="E83" s="5" t="s">
        <v>13</v>
      </c>
      <c r="F83" s="6" t="s">
        <v>14</v>
      </c>
      <c r="G83" s="5"/>
    </row>
    <row r="84" customFormat="false" ht="15" hidden="false" customHeight="false" outlineLevel="0" collapsed="false">
      <c r="A84" s="4" t="s">
        <v>168</v>
      </c>
      <c r="B84" s="4"/>
      <c r="C84" s="4"/>
      <c r="D84" s="4"/>
      <c r="E84" s="4"/>
      <c r="F84" s="4"/>
      <c r="G84" s="4"/>
    </row>
    <row r="85" customFormat="false" ht="15" hidden="false" customHeight="false" outlineLevel="0" collapsed="false">
      <c r="A85" s="5" t="s">
        <v>168</v>
      </c>
      <c r="B85" s="5" t="s">
        <v>169</v>
      </c>
      <c r="C85" s="6" t="s">
        <v>95</v>
      </c>
      <c r="D85" s="6" t="s">
        <v>12</v>
      </c>
      <c r="E85" s="5" t="s">
        <v>13</v>
      </c>
      <c r="F85" s="6" t="s">
        <v>14</v>
      </c>
      <c r="G85" s="5"/>
    </row>
    <row r="86" customFormat="false" ht="23.85" hidden="false" customHeight="false" outlineLevel="0" collapsed="false">
      <c r="A86" s="5" t="s">
        <v>168</v>
      </c>
      <c r="B86" s="5" t="s">
        <v>170</v>
      </c>
      <c r="C86" s="6" t="s">
        <v>17</v>
      </c>
      <c r="D86" s="6" t="s">
        <v>12</v>
      </c>
      <c r="E86" s="5" t="s">
        <v>171</v>
      </c>
      <c r="F86" s="6" t="s">
        <v>14</v>
      </c>
      <c r="G86" s="5" t="s">
        <v>172</v>
      </c>
    </row>
    <row r="87" customFormat="false" ht="15" hidden="false" customHeight="false" outlineLevel="0" collapsed="false">
      <c r="A87" s="5" t="s">
        <v>168</v>
      </c>
      <c r="B87" s="5" t="s">
        <v>173</v>
      </c>
      <c r="C87" s="6" t="s">
        <v>17</v>
      </c>
      <c r="D87" s="6" t="s">
        <v>12</v>
      </c>
      <c r="E87" s="5" t="s">
        <v>13</v>
      </c>
      <c r="F87" s="6" t="s">
        <v>14</v>
      </c>
      <c r="G87" s="5"/>
    </row>
    <row r="88" customFormat="false" ht="15" hidden="false" customHeight="false" outlineLevel="0" collapsed="false">
      <c r="A88" s="5" t="s">
        <v>168</v>
      </c>
      <c r="B88" s="5" t="s">
        <v>174</v>
      </c>
      <c r="C88" s="6" t="s">
        <v>113</v>
      </c>
      <c r="D88" s="6" t="s">
        <v>114</v>
      </c>
      <c r="E88" s="5" t="s">
        <v>13</v>
      </c>
      <c r="F88" s="6" t="s">
        <v>14</v>
      </c>
      <c r="G88" s="5"/>
    </row>
    <row r="89" customFormat="false" ht="15" hidden="false" customHeight="false" outlineLevel="0" collapsed="false">
      <c r="A89" s="5" t="s">
        <v>168</v>
      </c>
      <c r="B89" s="5" t="s">
        <v>175</v>
      </c>
      <c r="C89" s="6" t="s">
        <v>17</v>
      </c>
      <c r="D89" s="6" t="s">
        <v>18</v>
      </c>
      <c r="E89" s="5" t="s">
        <v>34</v>
      </c>
      <c r="F89" s="6" t="s">
        <v>14</v>
      </c>
      <c r="G89" s="5" t="s">
        <v>176</v>
      </c>
    </row>
  </sheetData>
  <mergeCells count="13">
    <mergeCell ref="A1:G1"/>
    <mergeCell ref="A2:G2"/>
    <mergeCell ref="A5:G5"/>
    <mergeCell ref="A13:G13"/>
    <mergeCell ref="A22:G22"/>
    <mergeCell ref="A29:G29"/>
    <mergeCell ref="A37:G37"/>
    <mergeCell ref="A50:G50"/>
    <mergeCell ref="A59:G59"/>
    <mergeCell ref="A66:G66"/>
    <mergeCell ref="A71:G71"/>
    <mergeCell ref="A78:G78"/>
    <mergeCell ref="A84:G84"/>
  </mergeCells>
  <dataValidations count="2">
    <dataValidation allowBlank="true" errorStyle="stop" operator="between" showDropDown="false" showErrorMessage="false" showInputMessage="false" sqref="F5:F89" type="list">
      <formula1>"No,Yes"</formula1>
      <formula2>0</formula2>
    </dataValidation>
    <dataValidation allowBlank="true" errorStyle="stop" operator="between" showDropDown="false" showErrorMessage="false" showInputMessage="false" sqref="E5:E89" type="list">
      <formula1>"Cabin (with us),Rear trunk,Frunk,Grandma's car,Buy there / at Floreal,N/A"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40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177</v>
      </c>
      <c r="B1" s="1"/>
      <c r="C1" s="1"/>
      <c r="D1" s="1"/>
    </row>
    <row r="2" customFormat="false" ht="15" hidden="false" customHeight="false" outlineLevel="0" collapsed="false">
      <c r="A2" s="2" t="s">
        <v>178</v>
      </c>
      <c r="B2" s="2"/>
      <c r="C2" s="2"/>
      <c r="D2" s="2"/>
    </row>
    <row r="4" customFormat="false" ht="21.75" hidden="false" customHeight="true" outlineLevel="0" collapsed="false">
      <c r="A4" s="3" t="s">
        <v>179</v>
      </c>
      <c r="B4" s="3" t="s">
        <v>180</v>
      </c>
      <c r="C4" s="3" t="s">
        <v>181</v>
      </c>
      <c r="D4" s="3" t="s">
        <v>182</v>
      </c>
    </row>
    <row r="5" customFormat="false" ht="60" hidden="false" customHeight="true" outlineLevel="0" collapsed="false">
      <c r="A5" s="7" t="s">
        <v>183</v>
      </c>
      <c r="B5" s="5" t="s">
        <v>184</v>
      </c>
      <c r="C5" s="5" t="s">
        <v>185</v>
      </c>
      <c r="D5" s="5" t="s">
        <v>186</v>
      </c>
    </row>
    <row r="6" customFormat="false" ht="60" hidden="false" customHeight="true" outlineLevel="0" collapsed="false">
      <c r="A6" s="7" t="s">
        <v>187</v>
      </c>
      <c r="B6" s="5" t="s">
        <v>188</v>
      </c>
      <c r="C6" s="5" t="s">
        <v>189</v>
      </c>
      <c r="D6" s="5" t="s">
        <v>190</v>
      </c>
    </row>
    <row r="7" customFormat="false" ht="60" hidden="false" customHeight="true" outlineLevel="0" collapsed="false">
      <c r="A7" s="7" t="s">
        <v>191</v>
      </c>
      <c r="B7" s="5" t="s">
        <v>192</v>
      </c>
      <c r="C7" s="5" t="s">
        <v>193</v>
      </c>
      <c r="D7" s="5" t="s">
        <v>194</v>
      </c>
    </row>
    <row r="8" customFormat="false" ht="60" hidden="false" customHeight="true" outlineLevel="0" collapsed="false">
      <c r="A8" s="7" t="s">
        <v>195</v>
      </c>
      <c r="B8" s="5" t="s">
        <v>196</v>
      </c>
      <c r="C8" s="5" t="s">
        <v>197</v>
      </c>
      <c r="D8" s="5" t="s">
        <v>198</v>
      </c>
    </row>
    <row r="9" customFormat="false" ht="60" hidden="false" customHeight="true" outlineLevel="0" collapsed="false">
      <c r="A9" s="7" t="s">
        <v>199</v>
      </c>
      <c r="B9" s="5" t="s">
        <v>200</v>
      </c>
      <c r="C9" s="5" t="s">
        <v>201</v>
      </c>
      <c r="D9" s="5" t="s">
        <v>202</v>
      </c>
    </row>
    <row r="10" customFormat="false" ht="60" hidden="false" customHeight="true" outlineLevel="0" collapsed="false">
      <c r="A10" s="7" t="s">
        <v>203</v>
      </c>
      <c r="B10" s="5" t="s">
        <v>204</v>
      </c>
      <c r="C10" s="5" t="s">
        <v>205</v>
      </c>
      <c r="D10" s="5" t="s">
        <v>206</v>
      </c>
    </row>
    <row r="12" customFormat="false" ht="15" hidden="false" customHeight="false" outlineLevel="0" collapsed="false">
      <c r="A12" s="8" t="s">
        <v>207</v>
      </c>
      <c r="B12" s="8"/>
      <c r="C12" s="8"/>
      <c r="D12" s="8"/>
    </row>
    <row r="13" customFormat="false" ht="31.5" hidden="false" customHeight="true" outlineLevel="0" collapsed="false">
      <c r="A13" s="9" t="s">
        <v>208</v>
      </c>
      <c r="B13" s="9"/>
      <c r="C13" s="9"/>
      <c r="D13" s="9"/>
    </row>
    <row r="14" customFormat="false" ht="31.5" hidden="false" customHeight="true" outlineLevel="0" collapsed="false">
      <c r="A14" s="9" t="s">
        <v>209</v>
      </c>
      <c r="B14" s="9"/>
      <c r="C14" s="9"/>
      <c r="D14" s="9"/>
    </row>
    <row r="15" customFormat="false" ht="31.5" hidden="false" customHeight="true" outlineLevel="0" collapsed="false">
      <c r="A15" s="9" t="s">
        <v>210</v>
      </c>
      <c r="B15" s="9"/>
      <c r="C15" s="9"/>
      <c r="D15" s="9"/>
    </row>
    <row r="16" customFormat="false" ht="31.5" hidden="false" customHeight="true" outlineLevel="0" collapsed="false">
      <c r="A16" s="9" t="s">
        <v>211</v>
      </c>
      <c r="B16" s="9"/>
      <c r="C16" s="9"/>
      <c r="D16" s="9"/>
    </row>
    <row r="17" customFormat="false" ht="31.5" hidden="false" customHeight="true" outlineLevel="0" collapsed="false">
      <c r="A17" s="9" t="s">
        <v>212</v>
      </c>
      <c r="B17" s="9"/>
      <c r="C17" s="9"/>
      <c r="D17" s="9"/>
    </row>
    <row r="18" customFormat="false" ht="31.5" hidden="false" customHeight="true" outlineLevel="0" collapsed="false">
      <c r="A18" s="9" t="s">
        <v>213</v>
      </c>
      <c r="B18" s="9"/>
      <c r="C18" s="9"/>
      <c r="D18" s="9"/>
    </row>
    <row r="19" customFormat="false" ht="31.5" hidden="false" customHeight="true" outlineLevel="0" collapsed="false">
      <c r="A19" s="9" t="s">
        <v>214</v>
      </c>
      <c r="B19" s="9"/>
      <c r="C19" s="9"/>
      <c r="D19" s="9"/>
    </row>
  </sheetData>
  <mergeCells count="10">
    <mergeCell ref="A1:D1"/>
    <mergeCell ref="A2:D2"/>
    <mergeCell ref="A12:D12"/>
    <mergeCell ref="A13:D13"/>
    <mergeCell ref="A14:D14"/>
    <mergeCell ref="A15:D15"/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215</v>
      </c>
      <c r="B1" s="1"/>
      <c r="C1" s="1"/>
    </row>
    <row r="3" customFormat="false" ht="15" hidden="false" customHeight="false" outlineLevel="0" collapsed="false">
      <c r="A3" s="10" t="s">
        <v>216</v>
      </c>
      <c r="B3" s="11" t="n">
        <f aca="false">COUNTA('Packing List'!B5:B89)-COUNTIF('Packing List'!B5:B89,"")</f>
        <v>63</v>
      </c>
    </row>
    <row r="4" customFormat="false" ht="15" hidden="false" customHeight="false" outlineLevel="0" collapsed="false">
      <c r="A4" s="10" t="s">
        <v>217</v>
      </c>
      <c r="B4" s="11" t="n">
        <f aca="false">COUNTIF('Packing List'!F5:F89,"Yes")</f>
        <v>0</v>
      </c>
    </row>
    <row r="5" customFormat="false" ht="15" hidden="false" customHeight="false" outlineLevel="0" collapsed="false">
      <c r="A5" s="10" t="s">
        <v>218</v>
      </c>
      <c r="B5" s="11" t="n">
        <f aca="false">B3-B4</f>
        <v>63</v>
      </c>
    </row>
    <row r="6" customFormat="false" ht="15" hidden="false" customHeight="false" outlineLevel="0" collapsed="false">
      <c r="A6" s="10" t="s">
        <v>219</v>
      </c>
      <c r="B6" s="12" t="n">
        <f aca="false">IFERROR(B4/B3,0)</f>
        <v>0</v>
      </c>
    </row>
    <row r="8" customFormat="false" ht="15" hidden="false" customHeight="false" outlineLevel="0" collapsed="false">
      <c r="A8" s="8" t="s">
        <v>220</v>
      </c>
      <c r="B8" s="8"/>
      <c r="C8" s="8"/>
      <c r="D8" s="8"/>
    </row>
    <row r="9" customFormat="false" ht="15" hidden="false" customHeight="false" outlineLevel="0" collapsed="false">
      <c r="A9" s="13" t="s">
        <v>6</v>
      </c>
      <c r="B9" s="13" t="s">
        <v>221</v>
      </c>
    </row>
    <row r="10" customFormat="false" ht="15" hidden="false" customHeight="false" outlineLevel="0" collapsed="false">
      <c r="A10" s="14" t="s">
        <v>13</v>
      </c>
      <c r="B10" s="14" t="n">
        <f aca="false">COUNTIF('Packing List'!E5:E89,"Cabin (with us)")</f>
        <v>18</v>
      </c>
    </row>
    <row r="11" customFormat="false" ht="15" hidden="false" customHeight="false" outlineLevel="0" collapsed="false">
      <c r="A11" s="14" t="s">
        <v>34</v>
      </c>
      <c r="B11" s="14" t="n">
        <f aca="false">COUNTIF('Packing List'!E5:E89,"Rear trunk")</f>
        <v>49</v>
      </c>
    </row>
    <row r="12" customFormat="false" ht="15" hidden="false" customHeight="false" outlineLevel="0" collapsed="false">
      <c r="A12" s="14" t="s">
        <v>100</v>
      </c>
      <c r="B12" s="14" t="n">
        <f aca="false">COUNTIF('Packing List'!E5:E89,"Frunk")</f>
        <v>2</v>
      </c>
    </row>
    <row r="13" customFormat="false" ht="15" hidden="false" customHeight="false" outlineLevel="0" collapsed="false">
      <c r="A13" s="14" t="s">
        <v>156</v>
      </c>
      <c r="B13" s="14" t="n">
        <f aca="false">COUNTIF('Packing List'!E5:E89,"Grandma's car")</f>
        <v>2</v>
      </c>
    </row>
    <row r="14" customFormat="false" ht="15" hidden="false" customHeight="false" outlineLevel="0" collapsed="false">
      <c r="A14" s="14" t="s">
        <v>222</v>
      </c>
      <c r="B14" s="14" t="n">
        <f aca="false">COUNTIF('Packing List'!E5:E89,"Buy there / at Floreal")</f>
        <v>0</v>
      </c>
    </row>
    <row r="15" customFormat="false" ht="15" hidden="false" customHeight="false" outlineLevel="0" collapsed="false">
      <c r="A15" s="14" t="s">
        <v>223</v>
      </c>
      <c r="B15" s="14" t="n">
        <f aca="false">COUNTIF('Packing List'!E5:E89,"N/A")</f>
        <v>0</v>
      </c>
    </row>
    <row r="16" customFormat="false" ht="15" hidden="false" customHeight="false" outlineLevel="0" collapsed="false">
      <c r="A16" s="14" t="s">
        <v>224</v>
      </c>
      <c r="B16" s="14" t="n">
        <f aca="false">COUNTIF('Packing List'!E5:E89,"Cabin (installed)")</f>
        <v>1</v>
      </c>
    </row>
  </sheetData>
  <mergeCells count="2">
    <mergeCell ref="A1:C1"/>
    <mergeCell ref="A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225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226</v>
      </c>
      <c r="B2" s="2"/>
      <c r="C2" s="2"/>
      <c r="D2" s="2"/>
      <c r="E2" s="2"/>
    </row>
    <row r="4" customFormat="false" ht="15" hidden="false" customHeight="false" outlineLevel="0" collapsed="false">
      <c r="A4" s="15" t="s">
        <v>227</v>
      </c>
      <c r="B4" s="15"/>
      <c r="C4" s="15"/>
      <c r="D4" s="15"/>
      <c r="E4" s="15"/>
    </row>
    <row r="5" customFormat="false" ht="15" hidden="false" customHeight="false" outlineLevel="0" collapsed="false">
      <c r="A5" s="3" t="s">
        <v>228</v>
      </c>
      <c r="B5" s="3" t="s">
        <v>229</v>
      </c>
      <c r="C5" s="3" t="s">
        <v>230</v>
      </c>
      <c r="D5" s="3" t="s">
        <v>231</v>
      </c>
      <c r="E5" s="3" t="s">
        <v>8</v>
      </c>
    </row>
    <row r="6" customFormat="false" ht="30" hidden="false" customHeight="true" outlineLevel="0" collapsed="false">
      <c r="A6" s="5" t="s">
        <v>232</v>
      </c>
      <c r="B6" s="5" t="s">
        <v>233</v>
      </c>
      <c r="C6" s="6" t="s">
        <v>234</v>
      </c>
      <c r="D6" s="5" t="s">
        <v>235</v>
      </c>
      <c r="E6" s="5" t="s">
        <v>236</v>
      </c>
    </row>
    <row r="7" customFormat="false" ht="30" hidden="false" customHeight="true" outlineLevel="0" collapsed="false">
      <c r="A7" s="5" t="s">
        <v>237</v>
      </c>
      <c r="B7" s="5" t="s">
        <v>238</v>
      </c>
      <c r="C7" s="6" t="s">
        <v>234</v>
      </c>
      <c r="D7" s="5" t="s">
        <v>235</v>
      </c>
      <c r="E7" s="5" t="s">
        <v>239</v>
      </c>
    </row>
    <row r="8" customFormat="false" ht="30" hidden="false" customHeight="true" outlineLevel="0" collapsed="false">
      <c r="A8" s="5" t="s">
        <v>240</v>
      </c>
      <c r="B8" s="5" t="s">
        <v>241</v>
      </c>
      <c r="C8" s="6" t="s">
        <v>242</v>
      </c>
      <c r="D8" s="5" t="s">
        <v>243</v>
      </c>
      <c r="E8" s="5" t="s">
        <v>244</v>
      </c>
    </row>
    <row r="9" customFormat="false" ht="30" hidden="false" customHeight="true" outlineLevel="0" collapsed="false">
      <c r="A9" s="5" t="s">
        <v>245</v>
      </c>
      <c r="B9" s="5" t="s">
        <v>246</v>
      </c>
      <c r="C9" s="6" t="s">
        <v>234</v>
      </c>
      <c r="D9" s="5" t="s">
        <v>235</v>
      </c>
      <c r="E9" s="5" t="s">
        <v>247</v>
      </c>
    </row>
    <row r="10" customFormat="false" ht="30" hidden="false" customHeight="true" outlineLevel="0" collapsed="false">
      <c r="A10" s="5" t="s">
        <v>248</v>
      </c>
      <c r="B10" s="5" t="s">
        <v>249</v>
      </c>
      <c r="C10" s="6" t="s">
        <v>234</v>
      </c>
      <c r="D10" s="5" t="s">
        <v>235</v>
      </c>
      <c r="E10" s="5" t="s">
        <v>250</v>
      </c>
    </row>
    <row r="11" customFormat="false" ht="30" hidden="false" customHeight="true" outlineLevel="0" collapsed="false">
      <c r="A11" s="5" t="s">
        <v>251</v>
      </c>
      <c r="B11" s="5" t="s">
        <v>252</v>
      </c>
      <c r="C11" s="6" t="s">
        <v>234</v>
      </c>
      <c r="D11" s="5" t="s">
        <v>235</v>
      </c>
      <c r="E11" s="5" t="s">
        <v>253</v>
      </c>
    </row>
    <row r="12" customFormat="false" ht="30" hidden="false" customHeight="true" outlineLevel="0" collapsed="false">
      <c r="A12" s="5" t="s">
        <v>254</v>
      </c>
      <c r="B12" s="5" t="s">
        <v>255</v>
      </c>
      <c r="C12" s="6" t="s">
        <v>256</v>
      </c>
      <c r="D12" s="5" t="s">
        <v>235</v>
      </c>
      <c r="E12" s="5" t="s">
        <v>257</v>
      </c>
    </row>
    <row r="13" customFormat="false" ht="30" hidden="false" customHeight="true" outlineLevel="0" collapsed="false">
      <c r="A13" s="5" t="s">
        <v>258</v>
      </c>
      <c r="B13" s="5" t="s">
        <v>259</v>
      </c>
      <c r="C13" s="6" t="s">
        <v>234</v>
      </c>
      <c r="D13" s="5" t="s">
        <v>235</v>
      </c>
      <c r="E13" s="5" t="s">
        <v>260</v>
      </c>
    </row>
    <row r="16" customFormat="false" ht="15" hidden="false" customHeight="false" outlineLevel="0" collapsed="false">
      <c r="A16" s="15" t="s">
        <v>261</v>
      </c>
      <c r="B16" s="15"/>
      <c r="C16" s="15"/>
      <c r="D16" s="15"/>
      <c r="E16" s="15"/>
    </row>
    <row r="17" customFormat="false" ht="15" hidden="false" customHeight="false" outlineLevel="0" collapsed="false">
      <c r="A17" s="3" t="s">
        <v>262</v>
      </c>
      <c r="B17" s="3" t="s">
        <v>229</v>
      </c>
      <c r="C17" s="3" t="s">
        <v>230</v>
      </c>
      <c r="D17" s="3" t="s">
        <v>231</v>
      </c>
      <c r="E17" s="3" t="s">
        <v>8</v>
      </c>
    </row>
    <row r="18" customFormat="false" ht="33.75" hidden="false" customHeight="true" outlineLevel="0" collapsed="false">
      <c r="A18" s="5" t="s">
        <v>263</v>
      </c>
      <c r="B18" s="5" t="s">
        <v>264</v>
      </c>
      <c r="C18" s="6" t="s">
        <v>265</v>
      </c>
      <c r="D18" s="5" t="s">
        <v>266</v>
      </c>
      <c r="E18" s="5" t="s">
        <v>267</v>
      </c>
    </row>
    <row r="19" customFormat="false" ht="33.75" hidden="false" customHeight="true" outlineLevel="0" collapsed="false">
      <c r="A19" s="5" t="s">
        <v>268</v>
      </c>
      <c r="B19" s="5" t="s">
        <v>269</v>
      </c>
      <c r="C19" s="6" t="s">
        <v>270</v>
      </c>
      <c r="D19" s="5" t="s">
        <v>235</v>
      </c>
      <c r="E19" s="5" t="s">
        <v>271</v>
      </c>
    </row>
    <row r="20" customFormat="false" ht="33.75" hidden="false" customHeight="true" outlineLevel="0" collapsed="false">
      <c r="A20" s="5" t="s">
        <v>272</v>
      </c>
      <c r="B20" s="5" t="s">
        <v>273</v>
      </c>
      <c r="C20" s="6" t="s">
        <v>234</v>
      </c>
      <c r="D20" s="5" t="s">
        <v>274</v>
      </c>
      <c r="E20" s="5" t="s">
        <v>275</v>
      </c>
    </row>
    <row r="21" customFormat="false" ht="33.75" hidden="false" customHeight="true" outlineLevel="0" collapsed="false">
      <c r="A21" s="5" t="s">
        <v>276</v>
      </c>
      <c r="B21" s="5" t="s">
        <v>277</v>
      </c>
      <c r="C21" s="6" t="s">
        <v>234</v>
      </c>
      <c r="D21" s="5" t="s">
        <v>278</v>
      </c>
      <c r="E21" s="5" t="s">
        <v>279</v>
      </c>
    </row>
    <row r="22" customFormat="false" ht="33.75" hidden="false" customHeight="true" outlineLevel="0" collapsed="false">
      <c r="A22" s="5" t="s">
        <v>280</v>
      </c>
      <c r="B22" s="5" t="s">
        <v>281</v>
      </c>
      <c r="C22" s="6" t="s">
        <v>282</v>
      </c>
      <c r="D22" s="5" t="s">
        <v>283</v>
      </c>
      <c r="E22" s="5" t="s">
        <v>284</v>
      </c>
    </row>
    <row r="23" customFormat="false" ht="33.75" hidden="false" customHeight="true" outlineLevel="0" collapsed="false">
      <c r="A23" s="5" t="s">
        <v>285</v>
      </c>
      <c r="B23" s="5" t="s">
        <v>286</v>
      </c>
      <c r="C23" s="6" t="s">
        <v>234</v>
      </c>
      <c r="D23" s="5" t="s">
        <v>287</v>
      </c>
      <c r="E23" s="5" t="s">
        <v>288</v>
      </c>
    </row>
    <row r="24" customFormat="false" ht="33.75" hidden="false" customHeight="true" outlineLevel="0" collapsed="false">
      <c r="A24" s="5" t="s">
        <v>289</v>
      </c>
      <c r="B24" s="5" t="s">
        <v>290</v>
      </c>
      <c r="C24" s="6" t="s">
        <v>234</v>
      </c>
      <c r="D24" s="5" t="s">
        <v>291</v>
      </c>
      <c r="E24" s="5" t="s">
        <v>292</v>
      </c>
    </row>
    <row r="25" customFormat="false" ht="33.75" hidden="false" customHeight="true" outlineLevel="0" collapsed="false">
      <c r="A25" s="5" t="s">
        <v>293</v>
      </c>
      <c r="B25" s="5" t="s">
        <v>294</v>
      </c>
      <c r="C25" s="6" t="s">
        <v>234</v>
      </c>
      <c r="D25" s="5" t="s">
        <v>295</v>
      </c>
      <c r="E25" s="5" t="s">
        <v>296</v>
      </c>
    </row>
    <row r="26" customFormat="false" ht="33.75" hidden="false" customHeight="true" outlineLevel="0" collapsed="false">
      <c r="A26" s="5" t="s">
        <v>297</v>
      </c>
      <c r="B26" s="5" t="s">
        <v>298</v>
      </c>
      <c r="C26" s="6" t="s">
        <v>299</v>
      </c>
      <c r="D26" s="5" t="s">
        <v>300</v>
      </c>
      <c r="E26" s="5" t="s">
        <v>301</v>
      </c>
    </row>
    <row r="27" customFormat="false" ht="33.75" hidden="false" customHeight="true" outlineLevel="0" collapsed="false">
      <c r="A27" s="5" t="s">
        <v>302</v>
      </c>
      <c r="B27" s="5" t="s">
        <v>303</v>
      </c>
      <c r="C27" s="6" t="s">
        <v>282</v>
      </c>
      <c r="D27" s="5" t="s">
        <v>304</v>
      </c>
      <c r="E27" s="5" t="s">
        <v>305</v>
      </c>
    </row>
    <row r="30" customFormat="false" ht="15" hidden="false" customHeight="false" outlineLevel="0" collapsed="false">
      <c r="A30" s="8" t="s">
        <v>306</v>
      </c>
      <c r="B30" s="8"/>
      <c r="C30" s="8"/>
      <c r="D30" s="8"/>
      <c r="E30" s="8"/>
    </row>
    <row r="31" customFormat="false" ht="31.5" hidden="false" customHeight="true" outlineLevel="0" collapsed="false">
      <c r="A31" s="9" t="s">
        <v>307</v>
      </c>
      <c r="B31" s="9"/>
      <c r="C31" s="9"/>
      <c r="D31" s="9"/>
      <c r="E31" s="9"/>
    </row>
    <row r="32" customFormat="false" ht="31.5" hidden="false" customHeight="true" outlineLevel="0" collapsed="false">
      <c r="A32" s="9" t="s">
        <v>308</v>
      </c>
      <c r="B32" s="9"/>
      <c r="C32" s="9"/>
      <c r="D32" s="9"/>
      <c r="E32" s="9"/>
    </row>
    <row r="33" customFormat="false" ht="31.5" hidden="false" customHeight="true" outlineLevel="0" collapsed="false">
      <c r="A33" s="9" t="s">
        <v>309</v>
      </c>
      <c r="B33" s="9"/>
      <c r="C33" s="9"/>
      <c r="D33" s="9"/>
      <c r="E33" s="9"/>
    </row>
    <row r="34" customFormat="false" ht="31.5" hidden="false" customHeight="true" outlineLevel="0" collapsed="false">
      <c r="A34" s="9" t="s">
        <v>310</v>
      </c>
      <c r="B34" s="9"/>
      <c r="C34" s="9"/>
      <c r="D34" s="9"/>
      <c r="E34" s="9"/>
    </row>
  </sheetData>
  <mergeCells count="9">
    <mergeCell ref="A1:E1"/>
    <mergeCell ref="A2:E2"/>
    <mergeCell ref="A4:E4"/>
    <mergeCell ref="A16:E16"/>
    <mergeCell ref="A30:E30"/>
    <mergeCell ref="A31:E31"/>
    <mergeCell ref="A32:E32"/>
    <mergeCell ref="A33:E33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2026-07-29T20:41:25Z</dcterms:created>
  <dc:creator>openpyxl</dc:creator>
  <dc:description/>
  <dc:language>en-US</dc:language>
  <cp:lastModifiedBy/>
  <dcterms:modified xsi:type="dcterms:W3CDTF">2026-07-29T20:41:25Z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